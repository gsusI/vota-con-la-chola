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a942da4fcd45e5" /></Relationships>
</file>

<file path=xl/workbook.xml><?xml version="1.0" encoding="utf-8"?>
<x:workbook xmlns:x="http://schemas.openxmlformats.org/spreadsheetml/2006/main">
  <x:sheets>
    <x:sheet xmlns:r="http://schemas.openxmlformats.org/officeDocument/2006/relationships" name="Resumen" sheetId="1" r:id="R00a9cf79c0de403e"/>
    <x:sheet xmlns:r="http://schemas.openxmlformats.org/officeDocument/2006/relationships" name="Matriz de casos" sheetId="2" r:id="R9d78cf62c7c945f8"/>
    <x:sheet xmlns:r="http://schemas.openxmlformats.org/officeDocument/2006/relationships" name="Contratos" sheetId="3" r:id="R2a1c6942cb4a45c9"/>
    <x:sheet xmlns:r="http://schemas.openxmlformats.org/officeDocument/2006/relationships" name="Señales sistémicas" sheetId="4" r:id="R973ddceeeccd4dc7"/>
    <x:sheet xmlns:r="http://schemas.openxmlformats.org/officeDocument/2006/relationships" name="Fuentes" sheetId="5" r:id="R11e880cd8d9549e7"/>
    <x:sheet xmlns:r="http://schemas.openxmlformats.org/officeDocument/2006/relationships" name="Diligencias realizadas" sheetId="6" r:id="Rd6b79875b1654202"/>
    <x:sheet xmlns:r="http://schemas.openxmlformats.org/officeDocument/2006/relationships" name="Metodología" sheetId="7" r:id="Rdf02bb52130a469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mm/yyyy"/>
    <x:numFmt numFmtId="201" formatCode="#,##0.00 [$€-es-ES]"/>
    <x:numFmt numFmtId="202" formatCode="0"/>
  </x:numFmts>
  <x:fonts count="21">
    <x:font>
      <x:sz val="11"/>
      <x:name val="Carlito"/>
    </x:font>
    <x:font>
      <x:b/>
      <x:sz val="18"/>
      <x:color rgb="FFFFFFFF"/>
      <x:name val="Carlito"/>
    </x:font>
    <x:font>
      <x:i/>
      <x:sz val="10"/>
      <x:color rgb="FF172B3A"/>
      <x:name val="Carlito"/>
    </x:font>
    <x:font>
      <x:b/>
      <x:sz val="10"/>
      <x:color rgb="FFFFFFFF"/>
      <x:name val="Carlito"/>
    </x:font>
    <x:font>
      <x:sz val="9"/>
      <x:color rgb="FF172B3A"/>
      <x:name val="Carlito"/>
    </x:font>
    <x:font>
      <x:sz val="9"/>
      <x:color rgb="FF1D4ED8"/>
      <x:name val="Carlito"/>
    </x:font>
    <x:font>
      <x:b/>
      <x:sz val="9"/>
      <x:color rgb="FFB42318"/>
      <x:name val="Carlito"/>
    </x:font>
    <x:font>
      <x:b/>
      <x:sz val="9"/>
      <x:color rgb="FFB54708"/>
      <x:name val="Carlito"/>
    </x:font>
    <x:font>
      <x:b/>
      <x:sz val="9"/>
      <x:color rgb="FF8A6500"/>
      <x:name val="Carlito"/>
    </x:font>
    <x:font>
      <x:b/>
      <x:sz val="9"/>
      <x:color rgb="FF1D4ED8"/>
      <x:name val="Carlito"/>
    </x:font>
    <x:font>
      <x:b/>
      <x:sz val="9"/>
      <x:color rgb="FF172B3A"/>
      <x:name val="Carlito"/>
    </x:font>
    <x:font>
      <x:b/>
      <x:sz val="9"/>
      <x:color rgb="FF18794E"/>
      <x:name val="Carlito"/>
    </x:font>
    <x:font>
      <x:b/>
      <x:sz val="9"/>
      <x:color rgb="FF52606D"/>
      <x:name val="Carlito"/>
    </x:font>
    <x:font>
      <x:b/>
      <x:sz val="10"/>
      <x:color rgb="FF17324D"/>
      <x:name val="Carlito"/>
    </x:font>
    <x:font>
      <x:b/>
      <x:sz val="26"/>
      <x:color rgb="FF17324D"/>
      <x:name val="Carlito"/>
    </x:font>
    <x:font>
      <x:b/>
      <x:sz val="26"/>
      <x:color rgb="FFB42318"/>
      <x:name val="Carlito"/>
    </x:font>
    <x:font>
      <x:b/>
      <x:sz val="26"/>
      <x:color rgb="FFB54708"/>
      <x:name val="Carlito"/>
    </x:font>
    <x:font>
      <x:b/>
      <x:sz val="26"/>
      <x:color rgb="FF8A6500"/>
      <x:name val="Carlito"/>
    </x:font>
    <x:font>
      <x:b/>
      <x:sz val="26"/>
      <x:color rgb="FF18794E"/>
      <x:name val="Carlito"/>
    </x:font>
    <x:font>
      <x:b/>
      <x:sz val="9"/>
      <x:color rgb="FF17324D"/>
      <x:name val="Carlito"/>
    </x:font>
    <x:font>
      <x:sz val="10"/>
      <x:color rgb="FF172B3A"/>
      <x:name val="Carlito"/>
    </x:font>
  </x:fonts>
  <x:fills count="12">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0F766E"/>
      </x:patternFill>
    </x:fill>
    <x:fill>
      <x:patternFill patternType="solid">
        <x:fgColor rgb="FFFDECEA"/>
      </x:patternFill>
    </x:fill>
    <x:fill>
      <x:patternFill patternType="solid">
        <x:fgColor rgb="FFFFF2E2"/>
      </x:patternFill>
    </x:fill>
    <x:fill>
      <x:patternFill patternType="solid">
        <x:fgColor rgb="FFFFF8D6"/>
      </x:patternFill>
    </x:fill>
    <x:fill>
      <x:patternFill patternType="solid">
        <x:fgColor rgb="FFE8F5EC"/>
      </x:patternFill>
    </x:fill>
    <x:fill>
      <x:patternFill patternType="solid">
        <x:fgColor rgb="FFEEF2F5"/>
      </x:patternFill>
    </x:fill>
    <x:fill>
      <x:patternFill patternType="solid">
        <x:fgColor rgb="FFF4F7F9"/>
      </x:patternFill>
    </x:fill>
    <x:fill>
      <x:patternFill patternType="solid">
        <x:fgColor rgb="FFFFFFFF"/>
      </x:patternFill>
    </x:fill>
  </x:fills>
  <x:borders count="1">
    <x:border/>
  </x:borders>
  <x:cellStyleXfs count="1">
    <x:xf numFmtId="0" fontId="0" fillId="0" borderId="0"/>
  </x:cellStyleXfs>
  <x:cellXfs count="9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200" fontId="4" fillId="0" borderId="0" xfId="0" applyNumberFormat="1" applyFont="1" applyFill="1" applyBorder="1" applyAlignment="1">
      <x:alignment vertical="center" wrapText="1"/>
    </x:xf>
    <x:xf numFmtId="201" fontId="4" fillId="0" borderId="0" xfId="0" applyNumberFormat="1" applyFont="1" applyFill="1" applyBorder="1" applyAlignment="1">
      <x:alignment vertical="center" wrapText="1"/>
    </x:xf>
    <x:xf numFmtId="202" fontId="4"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0"/>
    </x:xf>
    <x:xf numFmtId="0" fontId="4" fillId="5" borderId="0"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6" fillId="5" borderId="0" xfId="0" applyNumberFormat="1" applyFont="1" applyFill="1" applyBorder="1" applyAlignment="1">
      <x:alignment horizontal="center" vertical="center" wrapText="1"/>
    </x:xf>
    <x:xf numFmtId="0" fontId="6" fillId="0" borderId="0" xfId="0" applyNumberFormat="1" applyFont="1" applyFill="1" applyBorder="1" applyAlignment="1">
      <x:alignment vertical="center" wrapText="1"/>
    </x:xf>
    <x:xf numFmtId="0" fontId="6" fillId="0" borderId="0" xfId="0" applyNumberFormat="1" applyFont="1" applyFill="1" applyBorder="1" applyAlignment="1">
      <x:alignment horizontal="center" vertical="center" wrapText="1"/>
    </x:xf>
    <x:xf numFmtId="0" fontId="4" fillId="6" borderId="0"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0" fontId="7" fillId="6" borderId="0" xfId="0" applyNumberFormat="1" applyFont="1" applyFill="1" applyBorder="1" applyAlignment="1">
      <x:alignment horizontal="center" vertical="center" wrapText="1"/>
    </x:xf>
    <x:xf numFmtId="0" fontId="7" fillId="0" borderId="0" xfId="0" applyNumberFormat="1" applyFont="1" applyFill="1" applyBorder="1" applyAlignment="1">
      <x:alignment vertical="center" wrapText="1"/>
    </x:xf>
    <x:xf numFmtId="0" fontId="7" fillId="0" borderId="0" xfId="0" applyNumberFormat="1" applyFont="1" applyFill="1" applyBorder="1" applyAlignment="1">
      <x:alignment horizontal="center" vertical="center" wrapText="1"/>
    </x:xf>
    <x:xf numFmtId="0" fontId="4" fillId="7" borderId="0" xfId="0" applyNumberFormat="1" applyFont="1" applyFill="1" applyBorder="1" applyAlignment="1">
      <x:alignment vertical="center" wrapText="1"/>
    </x:xf>
    <x:xf numFmtId="0" fontId="8" fillId="7" borderId="0" xfId="0" applyNumberFormat="1" applyFont="1" applyFill="1" applyBorder="1" applyAlignment="1">
      <x:alignment vertical="center" wrapText="1"/>
    </x:xf>
    <x:xf numFmtId="0" fontId="8" fillId="7" borderId="0" xfId="0" applyNumberFormat="1" applyFont="1" applyFill="1" applyBorder="1" applyAlignment="1">
      <x:alignment horizontal="center" vertical="center" wrapText="1"/>
    </x:xf>
    <x:xf numFmtId="0" fontId="4" fillId="3" borderId="0" xfId="0" applyNumberFormat="1" applyFont="1" applyFill="1" applyBorder="1" applyAlignment="1">
      <x:alignment vertical="center" wrapText="1"/>
    </x:xf>
    <x:xf numFmtId="0" fontId="9" fillId="3" borderId="0" xfId="0" applyNumberFormat="1" applyFont="1" applyFill="1" applyBorder="1" applyAlignment="1">
      <x:alignment vertical="center" wrapText="1"/>
    </x:xf>
    <x:xf numFmtId="0" fontId="9" fillId="3" borderId="0" xfId="0" applyNumberFormat="1" applyFont="1" applyFill="1" applyBorder="1" applyAlignment="1">
      <x:alignment horizontal="center" vertical="center" wrapText="1"/>
    </x:xf>
    <x:xf numFmtId="0" fontId="10" fillId="0" borderId="0" xfId="0" applyNumberFormat="1" applyFont="1" applyFill="1" applyBorder="1" applyAlignment="1">
      <x:alignment vertical="center" wrapText="1"/>
    </x:xf>
    <x:xf numFmtId="0" fontId="10" fillId="0" borderId="0" xfId="0" applyNumberFormat="1" applyFont="1" applyFill="1" applyBorder="1" applyAlignment="1">
      <x:alignment horizontal="center" vertical="center" wrapText="1"/>
    </x:xf>
    <x:xf numFmtId="0" fontId="4" fillId="8" borderId="0" xfId="0" applyNumberFormat="1" applyFont="1" applyFill="1" applyBorder="1" applyAlignment="1">
      <x:alignment vertical="center" wrapText="1"/>
    </x:xf>
    <x:xf numFmtId="0" fontId="11" fillId="8" borderId="0" xfId="0" applyNumberFormat="1" applyFont="1" applyFill="1" applyBorder="1" applyAlignment="1">
      <x:alignment vertical="center" wrapText="1"/>
    </x:xf>
    <x:xf numFmtId="0" fontId="11" fillId="8" borderId="0" xfId="0" applyNumberFormat="1" applyFont="1" applyFill="1" applyBorder="1" applyAlignment="1">
      <x:alignment horizontal="center" vertical="center" wrapText="1"/>
    </x:xf>
    <x:xf numFmtId="0" fontId="4" fillId="9" borderId="0" xfId="0" applyNumberFormat="1" applyFont="1" applyFill="1" applyBorder="1" applyAlignment="1">
      <x:alignment vertical="center" wrapText="1"/>
    </x:xf>
    <x:xf numFmtId="0" fontId="12" fillId="9" borderId="0" xfId="0" applyNumberFormat="1" applyFont="1" applyFill="1" applyBorder="1" applyAlignment="1">
      <x:alignment vertical="center" wrapText="1"/>
    </x:xf>
    <x:xf numFmtId="0" fontId="12" fillId="9" borderId="0" xfId="0" applyNumberFormat="1" applyFont="1" applyFill="1" applyBorder="1" applyAlignment="1">
      <x:alignment horizontal="center" vertical="center" wrapText="1"/>
    </x:xf>
    <x:xf numFmtId="0" fontId="11" fillId="0" borderId="0" xfId="0" applyNumberFormat="1" applyFont="1" applyFill="1" applyBorder="1" applyAlignment="1">
      <x:alignment vertical="center" wrapText="1"/>
    </x:xf>
    <x:xf numFmtId="0" fontId="11" fillId="0" borderId="0" xfId="0" applyNumberFormat="1" applyFont="1" applyFill="1" applyBorder="1" applyAlignment="1">
      <x:alignment horizontal="center" vertical="center" wrapText="1"/>
    </x:xf>
    <x:xf numFmtId="0" fontId="9" fillId="0" borderId="0" xfId="0" applyNumberFormat="1" applyFont="1" applyFill="1" applyBorder="1" applyAlignment="1">
      <x:alignment vertical="center" wrapText="1"/>
    </x:xf>
    <x:xf numFmtId="0" fontId="9" fillId="0" borderId="0" xfId="0" applyNumberFormat="1" applyFont="1" applyFill="1" applyBorder="1" applyAlignment="1">
      <x:alignment horizontal="center" vertical="center" wrapText="1"/>
    </x:xf>
    <x:xf numFmtId="0" fontId="13" fillId="3" borderId="0" xfId="0" applyNumberFormat="1" applyFont="1" applyFill="1" applyBorder="1" applyAlignment="1">
      <x:alignment vertical="center" wrapText="1"/>
    </x:xf>
    <x:xf numFmtId="0" fontId="13"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14" fillId="3" borderId="0" xfId="0" applyNumberFormat="1" applyFont="1" applyFill="1" applyBorder="1"/>
    <x:xf numFmtId="0" fontId="14" fillId="3" borderId="0" xfId="0" applyNumberFormat="1" applyFont="1" applyFill="1" applyBorder="1" applyAlignment="1">
      <x:alignment horizontal="center"/>
    </x:xf>
    <x:xf numFmtId="0" fontId="14" fillId="3" borderId="0" xfId="0" applyNumberFormat="1" applyFont="1" applyFill="1" applyBorder="1" applyAlignment="1">
      <x:alignment horizontal="center" vertical="center"/>
    </x:xf>
    <x:xf numFmtId="0" fontId="0" fillId="5" borderId="0" xfId="0" applyNumberFormat="1" applyFont="1" applyFill="1" applyBorder="1"/>
    <x:xf numFmtId="0" fontId="15" fillId="5" borderId="0" xfId="0" applyNumberFormat="1" applyFont="1" applyFill="1" applyBorder="1"/>
    <x:xf numFmtId="0" fontId="15" fillId="5" borderId="0" xfId="0" applyNumberFormat="1" applyFont="1" applyFill="1" applyBorder="1" applyAlignment="1">
      <x:alignment horizontal="center"/>
    </x:xf>
    <x:xf numFmtId="0" fontId="15" fillId="5" borderId="0" xfId="0" applyNumberFormat="1" applyFont="1" applyFill="1" applyBorder="1" applyAlignment="1">
      <x:alignment horizontal="center" vertical="center"/>
    </x:xf>
    <x:xf numFmtId="0" fontId="0" fillId="6" borderId="0" xfId="0" applyNumberFormat="1" applyFont="1" applyFill="1" applyBorder="1"/>
    <x:xf numFmtId="0" fontId="16" fillId="6" borderId="0" xfId="0" applyNumberFormat="1" applyFont="1" applyFill="1" applyBorder="1"/>
    <x:xf numFmtId="0" fontId="16" fillId="6" borderId="0" xfId="0" applyNumberFormat="1" applyFont="1" applyFill="1" applyBorder="1" applyAlignment="1">
      <x:alignment horizontal="center"/>
    </x:xf>
    <x:xf numFmtId="0" fontId="16" fillId="6" borderId="0" xfId="0" applyNumberFormat="1" applyFont="1" applyFill="1" applyBorder="1" applyAlignment="1">
      <x:alignment horizontal="center" vertical="center"/>
    </x:xf>
    <x:xf numFmtId="0" fontId="0" fillId="7" borderId="0" xfId="0" applyNumberFormat="1" applyFont="1" applyFill="1" applyBorder="1"/>
    <x:xf numFmtId="0" fontId="17" fillId="7" borderId="0" xfId="0" applyNumberFormat="1" applyFont="1" applyFill="1" applyBorder="1"/>
    <x:xf numFmtId="0" fontId="17" fillId="7" borderId="0" xfId="0" applyNumberFormat="1" applyFont="1" applyFill="1" applyBorder="1" applyAlignment="1">
      <x:alignment horizontal="center"/>
    </x:xf>
    <x:xf numFmtId="0" fontId="17" fillId="7" borderId="0" xfId="0" applyNumberFormat="1" applyFont="1" applyFill="1" applyBorder="1" applyAlignment="1">
      <x:alignment horizontal="center" vertical="center"/>
    </x:xf>
    <x:xf numFmtId="0" fontId="0" fillId="8" borderId="0" xfId="0" applyNumberFormat="1" applyFont="1" applyFill="1" applyBorder="1"/>
    <x:xf numFmtId="0" fontId="18" fillId="8" borderId="0" xfId="0" applyNumberFormat="1" applyFont="1" applyFill="1" applyBorder="1"/>
    <x:xf numFmtId="0" fontId="18" fillId="8" borderId="0" xfId="0" applyNumberFormat="1" applyFont="1" applyFill="1" applyBorder="1" applyAlignment="1">
      <x:alignment horizontal="center"/>
    </x:xf>
    <x:xf numFmtId="0" fontId="18" fillId="8" borderId="0" xfId="0" applyNumberFormat="1" applyFont="1" applyFill="1" applyBorder="1" applyAlignment="1">
      <x:alignment horizontal="center" vertical="center"/>
    </x:xf>
    <x:xf numFmtId="200" fontId="0" fillId="0" borderId="0" xfId="0" applyNumberFormat="1" applyFont="1" applyFill="1" applyBorder="1"/>
    <x:xf numFmtId="0" fontId="0" fillId="10" borderId="0" xfId="0" applyNumberFormat="1" applyFont="1" applyFill="1" applyBorder="1"/>
    <x:xf numFmtId="200" fontId="0" fillId="10" borderId="0" xfId="0" applyNumberFormat="1" applyFont="1" applyFill="1" applyBorder="1"/>
    <x:xf numFmtId="0" fontId="4" fillId="10" borderId="0" xfId="0" applyNumberFormat="1" applyFont="1" applyFill="1" applyBorder="1"/>
    <x:xf numFmtId="200" fontId="4" fillId="10" borderId="0" xfId="0" applyNumberFormat="1" applyFont="1" applyFill="1" applyBorder="1"/>
    <x:xf numFmtId="0" fontId="4" fillId="10" borderId="0" xfId="0" applyNumberFormat="1" applyFont="1" applyFill="1" applyBorder="1" applyAlignment="1">
      <x:alignment wrapText="1"/>
    </x:xf>
    <x:xf numFmtId="200" fontId="4" fillId="10" borderId="0" xfId="0" applyNumberFormat="1" applyFont="1" applyFill="1" applyBorder="1" applyAlignment="1">
      <x:alignment wrapText="1"/>
    </x:xf>
    <x:xf numFmtId="0" fontId="4" fillId="10" borderId="0" xfId="0" applyNumberFormat="1" applyFont="1" applyFill="1" applyBorder="1" applyAlignment="1">
      <x:alignment vertical="center" wrapText="1"/>
    </x:xf>
    <x:xf numFmtId="200" fontId="4" fillId="10" borderId="0" xfId="0" applyNumberFormat="1" applyFont="1" applyFill="1" applyBorder="1" applyAlignment="1">
      <x:alignment vertical="center" wrapText="1"/>
    </x:xf>
    <x:xf numFmtId="0" fontId="19" fillId="10" borderId="0" xfId="0" applyNumberFormat="1" applyFont="1" applyFill="1" applyBorder="1" applyAlignment="1">
      <x:alignment vertical="center" wrapText="1"/>
    </x:xf>
    <x:xf numFmtId="0" fontId="5" fillId="10" borderId="0" xfId="0" applyNumberFormat="1" applyFont="1" applyFill="1" applyBorder="1" applyAlignment="1">
      <x:alignment vertical="center" wrapText="1"/>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19" fillId="11" borderId="0" xfId="0" applyNumberFormat="1" applyFont="1" applyFill="1" applyBorder="1" applyAlignment="1">
      <x:alignment vertical="center" wrapText="1"/>
    </x:xf>
    <x:xf numFmtId="0" fontId="20" fillId="10" borderId="0" xfId="0" applyNumberFormat="1" applyFont="1" applyFill="1" applyBorder="1"/>
    <x:xf numFmtId="0" fontId="20" fillId="10" borderId="0" xfId="0" applyNumberFormat="1" applyFont="1" applyFill="1" applyBorder="1" applyAlignment="1">
      <x:alignment wrapText="1"/>
    </x:xf>
    <x:xf numFmtId="0" fontId="20" fillId="10" borderId="0" xfId="0" applyNumberFormat="1" applyFont="1" applyFill="1" applyBorder="1" applyAlignment="1">
      <x:alignment vertical="top" wrapText="1"/>
    </x:xf>
    <x:xf numFmtId="0" fontId="0" fillId="0" borderId="0" xfId="0" applyNumberFormat="1" applyFont="1" applyFill="1" applyBorder="1" applyAlignment="1">
      <x:alignment vertical="center"/>
    </x:xf>
    <x:xf numFmtId="0" fontId="20" fillId="1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3b1504014064d47" /><Relationship Type="http://schemas.openxmlformats.org/officeDocument/2006/relationships/theme" Target="/xl/theme/theme1.xml" Id="Rc398f333d9f24b9b" /><Relationship Type="http://schemas.openxmlformats.org/officeDocument/2006/relationships/sharedStrings" Target="/xl/sharedStrings.xml" Id="Re9294ae9852b40b7" /><Relationship Type="http://schemas.openxmlformats.org/officeDocument/2006/relationships/worksheet" Target="/xl/worksheets/sheet1.xml" Id="R00a9cf79c0de403e" /><Relationship Type="http://schemas.openxmlformats.org/officeDocument/2006/relationships/worksheet" Target="/xl/worksheets/sheet2.xml" Id="R9d78cf62c7c945f8" /><Relationship Type="http://schemas.openxmlformats.org/officeDocument/2006/relationships/worksheet" Target="/xl/worksheets/sheet3.xml" Id="R2a1c6942cb4a45c9" /><Relationship Type="http://schemas.openxmlformats.org/officeDocument/2006/relationships/worksheet" Target="/xl/worksheets/sheet4.xml" Id="R973ddceeeccd4dc7" /><Relationship Type="http://schemas.openxmlformats.org/officeDocument/2006/relationships/worksheet" Target="/xl/worksheets/sheet5.xml" Id="R11e880cd8d9549e7" /><Relationship Type="http://schemas.openxmlformats.org/officeDocument/2006/relationships/worksheet" Target="/xl/worksheets/sheet6.xml" Id="Rd6b79875b1654202" /><Relationship Type="http://schemas.openxmlformats.org/officeDocument/2006/relationships/worksheet" Target="/xl/worksheets/sheet7.xml" Id="Rdf02bb52130a4690" /></Relationships>
</file>

<file path=xl/drawings/_rels/drawing1.xml.rels>&#65279;<?xml version="1.0" encoding="utf-8"?><Relationships xmlns="http://schemas.openxmlformats.org/package/2006/relationships"><Relationship Type="http://schemas.openxmlformats.org/officeDocument/2006/relationships/chart" Target="/xl/drawings/charts/chart1.xml" Id="Rd30961a086e848e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Distribución de resultados</a:t>
            </a:r>
          </a:p>
        </c:rich>
      </c:tx>
      <c:overlay val="0"/>
    </c:title>
    <c:plotArea>
      <c:doughnutChart>
        <c:ser>
          <c:idx val="0"/>
          <c:order val="0"/>
          <c:tx>
            <c:v>Casos</c:v>
          </c:tx>
          <c:cat>
            <c:strRef>
              <c:f>'Resumen'!$A$20:$A$25</c:f>
              <c:strCache>
                <c:ptCount val="0"/>
              </c:strCache>
            </c:strRef>
          </c:cat>
          <c:val>
            <c:numRef>
              <c:f>'Resumen'!$B$20:$B$25</c:f>
              <c:numCache>
                <c:formatCode>0</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17</xdr:row>
      <xdr:rowOff>0</xdr:rowOff>
    </xdr:from>
    <xdr:to>
      <xdr:col>11</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0961a086e848ef"/>
        </a:graphicData>
      </a:graphic>
    </xdr:graphicFrame>
    <xdr:clientData/>
  </xdr:twoCellAnchor>
</xdr:wsDr>
</file>

<file path=xl/tables/table1.xml><?xml version="1.0" encoding="utf-8"?>
<x:table xmlns:x="http://schemas.openxmlformats.org/spreadsheetml/2006/main" id="1" name="MatrizCasos" displayName="MatrizCasos" ref="A5:T16" headerRowCount="1" totalsRowCount="0" totalsRowShown="0">
  <x:autoFilter ref="A5:T16"/>
  <x:tableColumns count="20">
    <x:tableColumn id="1" name="ID"/>
    <x:tableColumn id="2" name="Prioridad"/>
    <x:tableColumn id="3" name="Persona"/>
    <x:tableColumn id="4" name="Cargo público"/>
    <x:tableColumn id="5" name="Inicio del cargo"/>
    <x:tableColumn id="6" name="Operación revisada"/>
    <x:tableColumn id="7" name="Órgano contratante"/>
    <x:tableColumn id="8" name="Fecha de adjudicación"/>
    <x:tableColumn id="9" name="Importe neto (€)"/>
    <x:tableColumn id="10" name="Naturaleza económica"/>
    <x:tableColumn id="11" name="Ofertas"/>
    <x:tableColumn id="12" name="Procedimiento"/>
    <x:tableColumn id="13" name="Solapamiento institucional"/>
    <x:tableColumn id="14" name="Identidad"/>
    <x:tableColumn id="15" name="Estado"/>
    <x:tableColumn id="16" name="Hallazgo confirmado"/>
    <x:tableColumn id="17" name="Recusación publicada"/>
    <x:tableColumn id="18" name="Actuación formal restante"/>
    <x:tableColumn id="19" name="URL principal"/>
    <x:tableColumn id="20" name="Enlace"/>
  </x:tableColumns>
  <x:tableStyleInfo name="TableStyleMedium2" showFirstColumn="0" showLastColumn="0" showRowStripes="1" showColumnStripes="0"/>
</x:table>
</file>

<file path=xl/tables/table2.xml><?xml version="1.0" encoding="utf-8"?>
<x:table xmlns:x="http://schemas.openxmlformats.org/spreadsheetml/2006/main" id="2" name="DetalleContratos" displayName="DetalleContratos" ref="A5:O19" headerRowCount="1" totalsRowCount="0" totalsRowShown="0">
  <x:autoFilter ref="A5:O19"/>
  <x:tableColumns count="15">
    <x:tableColumn id="1" name="Caso"/>
    <x:tableColumn id="2" name="Expediente"/>
    <x:tableColumn id="3" name="Lote"/>
    <x:tableColumn id="4" name="Adjudicatario"/>
    <x:tableColumn id="5" name="Objeto"/>
    <x:tableColumn id="6" name="Órgano contratante"/>
    <x:tableColumn id="7" name="Fecha"/>
    <x:tableColumn id="8" name="Importe neto (€)"/>
    <x:tableColumn id="9" name="Importe pagadero (€)"/>
    <x:tableColumn id="10" name="Naturaleza"/>
    <x:tableColumn id="11" name="Ofertas"/>
    <x:tableColumn id="12" name="Procedimiento"/>
    <x:tableColumn id="13" name="¿Cargo público en fecha?"/>
    <x:tableColumn id="14" name="URL oficial"/>
    <x:tableColumn id="15" name="Enlace"/>
  </x:tableColumns>
  <x:tableStyleInfo name="TableStyleMedium2" showFirstColumn="0" showLastColumn="0" showRowStripes="1" showColumnStripes="0"/>
</x:table>
</file>

<file path=xl/tables/table3.xml><?xml version="1.0" encoding="utf-8"?>
<x:table xmlns:x="http://schemas.openxmlformats.org/spreadsheetml/2006/main" id="3" name="SenalesSistemicas" displayName="SenalesSistemicas" ref="A5:J9" headerRowCount="1" totalsRowCount="0" totalsRowShown="0">
  <x:autoFilter ref="A5:J9"/>
  <x:tableColumns count="10">
    <x:tableColumn id="1" name="ID"/>
    <x:tableColumn id="2" name="Clúster"/>
    <x:tableColumn id="3" name="Expedientes"/>
    <x:tableColumn id="4" name="Importe agregado (€)"/>
    <x:tableColumn id="5" name="Señal inicial"/>
    <x:tableColumn id="6" name="Comprobación"/>
    <x:tableColumn id="7" name="Conclusión"/>
    <x:tableColumn id="8" name="Control o exigencia restante"/>
    <x:tableColumn id="9" name="URL principal"/>
    <x:tableColumn id="10" name="Enlace"/>
  </x:tableColumns>
  <x:tableStyleInfo name="TableStyleMedium2" showFirstColumn="0" showLastColumn="0" showRowStripes="1" showColumnStripes="0"/>
</x:table>
</file>

<file path=xl/tables/table4.xml><?xml version="1.0" encoding="utf-8"?>
<x:table xmlns:x="http://schemas.openxmlformats.org/spreadsheetml/2006/main" id="4" name="RegistroFuentes" displayName="RegistroFuentes" ref="A5:J74" headerRowCount="1" totalsRowCount="0" totalsRowShown="0">
  <x:autoFilter ref="A5:J74"/>
  <x:tableColumns count="10">
    <x:tableColumn id="1" name="Fuente ID"/>
    <x:tableColumn id="2" name="Caso/Clúster"/>
    <x:tableColumn id="3" name="Tipo"/>
    <x:tableColumn id="4" name="Organismo o editor"/>
    <x:tableColumn id="5" name="Documento"/>
    <x:tableColumn id="6" name="Qué demuestra"/>
    <x:tableColumn id="7" name="Calidad"/>
    <x:tableColumn id="8" name="Fecha de consulta"/>
    <x:tableColumn id="9" name="URL completa"/>
    <x:tableColumn id="10" name="Enlace"/>
  </x:tableColumns>
  <x:tableStyleInfo name="TableStyleMedium2" showFirstColumn="0" showLastColumn="0" showRowStripes="1" showColumnStripes="0"/>
</x:table>
</file>

<file path=xl/tables/table5.xml><?xml version="1.0" encoding="utf-8"?>
<x:table xmlns:x="http://schemas.openxmlformats.org/spreadsheetml/2006/main" id="5" name="DiligenciasRealizadas" displayName="DiligenciasRealizadas" ref="A5:J30" headerRowCount="1" totalsRowCount="0" totalsRowShown="0">
  <x:autoFilter ref="A5:J30"/>
  <x:tableColumns count="10">
    <x:tableColumn id="1" name="Caso/Clúster"/>
    <x:tableColumn id="2" name="Diligencia realizada"/>
    <x:tableColumn id="3" name="Prioridad"/>
    <x:tableColumn id="4" name="Resultado"/>
    <x:tableColumn id="5" name="Conclusión verificable"/>
    <x:tableColumn id="6" name="Organismo o fuente"/>
    <x:tableColumn id="7" name="Fecha de consulta"/>
    <x:tableColumn id="8" name="URL pública"/>
    <x:tableColumn id="9" name="Enlace"/>
    <x:tableColumn id="10" name="Actuación formal si no está publicad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10be707e9b64325" /><Relationship Id="rId1" Type="http://schemas.openxmlformats.org/officeDocument/2006/relationships/hyperlink" Target="https://contrataciondelestado.es/wps/portal/plataforma" TargetMode="External"/><Relationship Id="rId2" Type="http://schemas.openxmlformats.org/officeDocument/2006/relationships/hyperlink" Target="https://www.boe.es/boe/dias/2023/09/15/pdfs/BOE-A-2023-19490.pdf" TargetMode="External"/><Relationship Id="rId3" Type="http://schemas.openxmlformats.org/officeDocument/2006/relationships/hyperlink" Target="https://www.boa.aragon.es/cgi-bin/EBOA/BRSCGI?CMD=VEROBJ&amp;MLKOB=1286303441111&amp;type=pdf" TargetMode="External"/><Relationship Id="rId4" Type="http://schemas.openxmlformats.org/officeDocument/2006/relationships/hyperlink" Target="https://doe.juntaex.es/pdfs/doe/2026/80o/26AC0001.pdf" TargetMode="External"/><Relationship Id="rId5" Type="http://schemas.openxmlformats.org/officeDocument/2006/relationships/hyperlink" Target="https://transparencia.turismodeislascanarias.com/sites/default/files/documents/Contratos_Formalizados_PROMOTUR.pdf" TargetMode="External"/></Relationships>
</file>

<file path=xl/worksheets/_rels/sheet2.xml.rels>&#65279;<?xml version="1.0" encoding="utf-8"?><Relationships xmlns="http://schemas.openxmlformats.org/package/2006/relationships"><Relationship Type="http://schemas.openxmlformats.org/officeDocument/2006/relationships/table" Target="/xl/tables/table1.xml" Id="R4c4a034368944c41" /><Relationship Id="rId1" Type="http://schemas.openxmlformats.org/officeDocument/2006/relationships/hyperlink" Target="https://contrataciondelestado.es/wps/poc?uri=deeplink:detalle_licitacion&amp;idEvl=Bw%2BtY1gBGzXVGIpKDxgsAQ%3D%3D" TargetMode="External"/><Relationship Id="rId2" Type="http://schemas.openxmlformats.org/officeDocument/2006/relationships/hyperlink" Target="https://www.illar.es/Servicios/Tablon/anexos.nsf/B82EBCBBB1530428C1258C28004C2B4B/%24file/DOC_CAN_ADJ2025-000122856.pdf" TargetMode="External"/><Relationship Id="rId3" Type="http://schemas.openxmlformats.org/officeDocument/2006/relationships/hyperlink" Target="https://contrataciondelestado.es/wps/poc?uri=deeplink:detalle_licitacion&amp;idEvl=ltyldZlniPDmnwcj%2BxbdTg%3D%3D" TargetMode="External"/><Relationship Id="rId4" Type="http://schemas.openxmlformats.org/officeDocument/2006/relationships/hyperlink" Target="https://contrataciondelestado.es/wps/poc?uri=deeplink:detalle_licitacion&amp;idEvl=U6PkcmCKl%2FokJPJS%2BPS9vg%3D%3D" TargetMode="External"/><Relationship Id="rId5" Type="http://schemas.openxmlformats.org/officeDocument/2006/relationships/hyperlink" Target="https://contrataciondelestado.es/wps/poc?uri=deeplink:detalle_licitacion&amp;idEvl=jn9C4PfATATIGlsa0Wad%2Bw%3D%3D" TargetMode="External"/><Relationship Id="rId6" Type="http://schemas.openxmlformats.org/officeDocument/2006/relationships/hyperlink" Target="https://contrataciondelestado.es/wps/poc?uri=deeplink:detalle_licitacion&amp;idEvl=F0BBwk0ZHKsadbH3CysQuQ%3D%3D" TargetMode="External"/><Relationship Id="rId7" Type="http://schemas.openxmlformats.org/officeDocument/2006/relationships/hyperlink" Target="https://contrataciondelestado.es/wps/poc?uri=deeplink:detalle_licitacion&amp;idEvl=Qz6Qt7gv5ttq1DdmE7eaXg%3D%3D" TargetMode="External"/><Relationship Id="rId8" Type="http://schemas.openxmlformats.org/officeDocument/2006/relationships/hyperlink" Target="https://contrataciondelestado.es/wps/poc?uri=deeplink:detalle_licitacion&amp;idEvl=ePnPMQh1Ak68ebB%2FXTwy0A%3D%3D" TargetMode="External"/><Relationship Id="rId9" Type="http://schemas.openxmlformats.org/officeDocument/2006/relationships/hyperlink" Target="https://turismodeislascanarias.com/sites/default/files/convocatoria/aj33_24cp_res_definitiva_seleccion_valoracion_definitiva_mayo-junio_2025.pdf" TargetMode="External"/><Relationship Id="rId10" Type="http://schemas.openxmlformats.org/officeDocument/2006/relationships/hyperlink" Target="https://doe.juntaex.es/pdfs/doe/2026/80o/26AC0001.pdf" TargetMode="External"/><Relationship Id="rId11" Type="http://schemas.openxmlformats.org/officeDocument/2006/relationships/hyperlink" Target="https://contrataciondelestado.es/wps/poc?uri=deeplink:detalle_licitacion&amp;idEvl=BDZ88lsFjCx7h85%2Fpmmsfw%3D%3D" TargetMode="External"/></Relationships>
</file>

<file path=xl/worksheets/_rels/sheet3.xml.rels>&#65279;<?xml version="1.0" encoding="utf-8"?><Relationships xmlns="http://schemas.openxmlformats.org/package/2006/relationships"><Relationship Type="http://schemas.openxmlformats.org/officeDocument/2006/relationships/table" Target="/xl/tables/table2.xml" Id="Rf09879a4536c47f4" /><Relationship Id="rId1" Type="http://schemas.openxmlformats.org/officeDocument/2006/relationships/hyperlink" Target="https://contrataciondelestado.es/wps/poc?uri=deeplink:detalle_licitacion&amp;idEvl=Bw%2BtY1gBGzXVGIpKDxgsAQ%3D%3D" TargetMode="External"/><Relationship Id="rId2" Type="http://schemas.openxmlformats.org/officeDocument/2006/relationships/hyperlink" Target="https://contrataciondelestado.es/wps/poc?uri=deeplink:detalle_licitacion&amp;idEvl=EnDwVIdbBpP10HRJw8TEnQ%3D%3D" TargetMode="External"/><Relationship Id="rId3" Type="http://schemas.openxmlformats.org/officeDocument/2006/relationships/hyperlink" Target="https://contrataciondelestado.es/wps/poc?uri=deeplink:detalle_licitacion&amp;idEvl=ltyldZlniPDmnwcj%2BxbdTg%3D%3D" TargetMode="External"/><Relationship Id="rId4" Type="http://schemas.openxmlformats.org/officeDocument/2006/relationships/hyperlink" Target="https://contrataciondelestado.es/wps/poc?uri=deeplink:detalle_licitacion&amp;idEvl=ltyldZlniPDmnwcj%2BxbdTg%3D%3D" TargetMode="External"/><Relationship Id="rId5" Type="http://schemas.openxmlformats.org/officeDocument/2006/relationships/hyperlink" Target="https://contrataciondelestado.es/wps/poc?uri=deeplink:detalle_licitacion&amp;idEvl=gDP7rTzDShQwYTJJ03sHog%3D%3D" TargetMode="External"/><Relationship Id="rId6" Type="http://schemas.openxmlformats.org/officeDocument/2006/relationships/hyperlink" Target="https://contrataciondelestado.es/wps/poc?uri=deeplink:detalle_licitacion&amp;idEvl=U6PkcmCKl%2FokJPJS%2BPS9vg%3D%3D" TargetMode="External"/><Relationship Id="rId7" Type="http://schemas.openxmlformats.org/officeDocument/2006/relationships/hyperlink" Target="https://contrataciondelestado.es/wps/poc?uri=deeplink:detalle_licitacion&amp;idEvl=jn9C4PfATATIGlsa0Wad%2Bw%3D%3D" TargetMode="External"/><Relationship Id="rId8" Type="http://schemas.openxmlformats.org/officeDocument/2006/relationships/hyperlink" Target="https://contrataciondelestado.es/wps/poc?uri=deeplink:detalle_licitacion&amp;idEvl=F0BBwk0ZHKsadbH3CysQuQ%3D%3D" TargetMode="External"/><Relationship Id="rId9" Type="http://schemas.openxmlformats.org/officeDocument/2006/relationships/hyperlink" Target="https://contrataciondelestado.es/wps/poc?uri=deeplink:detalle_licitacion&amp;idEvl=Qz6Qt7gv5ttq1DdmE7eaXg%3D%3D" TargetMode="External"/><Relationship Id="rId10" Type="http://schemas.openxmlformats.org/officeDocument/2006/relationships/hyperlink" Target="https://contrataciondelestado.es/wps/poc?uri=deeplink:detalle_licitacion&amp;idEvl=Qz6Qt7gv5ttq1DdmE7eaXg%3D%3D" TargetMode="External"/><Relationship Id="rId11" Type="http://schemas.openxmlformats.org/officeDocument/2006/relationships/hyperlink" Target="https://contrataciondelestado.es/wps/poc?uri=deeplink:detalle_licitacion&amp;idEvl=ePnPMQh1Ak68ebB%2FXTwy0A%3D%3D" TargetMode="External"/><Relationship Id="rId12" Type="http://schemas.openxmlformats.org/officeDocument/2006/relationships/hyperlink" Target="https://contrataciondelestado.es/wps/poc?uri=deeplink:detalle_licitacion&amp;idEvl=7pSzW7VkXiYS7pcxhTeWOg%3D%3D" TargetMode="External"/><Relationship Id="rId13" Type="http://schemas.openxmlformats.org/officeDocument/2006/relationships/hyperlink" Target="https://contrataciondelestado.es/wps/poc?uri=deeplink:detalle_licitacion&amp;idEvl=Y5DwEEep%2FEyFQ%2FlhRK79lA%3D%3D" TargetMode="External"/><Relationship Id="rId14" Type="http://schemas.openxmlformats.org/officeDocument/2006/relationships/hyperlink" Target="https://contrataciondelestado.es/wps/poc?uri=deeplink:detalle_licitacion&amp;idEvl=BDZ88lsFjCx7h85%2Fpmmsfw%3D%3D" TargetMode="External"/></Relationships>
</file>

<file path=xl/worksheets/_rels/sheet4.xml.rels>&#65279;<?xml version="1.0" encoding="utf-8"?><Relationships xmlns="http://schemas.openxmlformats.org/package/2006/relationships"><Relationship Type="http://schemas.openxmlformats.org/officeDocument/2006/relationships/table" Target="/xl/tables/table3.xml" Id="Rc389668c4a014b84" /><Relationship Id="rId1" Type="http://schemas.openxmlformats.org/officeDocument/2006/relationships/hyperlink" Target="https://contrataciondelestado.es/wps/poc?uri=deeplink:detalle_licitacion&amp;idEvl=%2Bj7vWwdYL9CFQ%2FlhRK79lA%3D%3D" TargetMode="External"/><Relationship Id="rId2" Type="http://schemas.openxmlformats.org/officeDocument/2006/relationships/hyperlink" Target="https://compracentralizada.aragon.es/media/catalog/category/16._Orden_adjudicacion_HAP_SCC_2024_20.pdf" TargetMode="External"/><Relationship Id="rId3" Type="http://schemas.openxmlformats.org/officeDocument/2006/relationships/hyperlink" Target="https://transparencia.turismodeislascanarias.com/sites/default/files/documents/Contratos_Formalizados_PROMOTUR.pdf" TargetMode="External"/><Relationship Id="rId4" Type="http://schemas.openxmlformats.org/officeDocument/2006/relationships/hyperlink" Target="https://contrataciondelestado.es/wps/poc?uri=deeplink:detalle_licitacion&amp;idEvl=crmtJnVJo3Y3vLk2DU2Ddg%3D%3D" TargetMode="External"/></Relationships>
</file>

<file path=xl/worksheets/_rels/sheet5.xml.rels>&#65279;<?xml version="1.0" encoding="utf-8"?><Relationships xmlns="http://schemas.openxmlformats.org/package/2006/relationships"><Relationship Type="http://schemas.openxmlformats.org/officeDocument/2006/relationships/table" Target="/xl/tables/table4.xml" Id="R1df6e531149a40e5" /><Relationship Id="rId1" Type="http://schemas.openxmlformats.org/officeDocument/2006/relationships/hyperlink" Target="https://www.cidones.es/corporacion" TargetMode="External"/><Relationship Id="rId2" Type="http://schemas.openxmlformats.org/officeDocument/2006/relationships/hyperlink" Target="https://contrataciondelestado.es/wps/poc?uri=deeplink:detalle_licitacion&amp;idEvl=Bw%2BtY1gBGzXVGIpKDxgsAQ%3D%3D" TargetMode="External"/><Relationship Id="rId3" Type="http://schemas.openxmlformats.org/officeDocument/2006/relationships/hyperlink" Target="https://www.illar.es/Servicios/Tablon/anexos.nsf/B82EBCBBB1530428C1258C28004C2B4B/%24file/DOC_CAN_ADJ2025-000122856.pdf" TargetMode="External"/><Relationship Id="rId4" Type="http://schemas.openxmlformats.org/officeDocument/2006/relationships/hyperlink" Target="https://www.illar.es/Servicios/cmsdipro/index.nsf/corporaciones_entidad_organo2.xsp?organo=Pleno&amp;p=Illar" TargetMode="External"/><Relationship Id="rId5" Type="http://schemas.openxmlformats.org/officeDocument/2006/relationships/hyperlink" Target="https://contrataciondelestado.es/wps/wcm/connect/PLACE_es/Site/area/docAccCmpnt?DocumentIdParam=884c51bb-42ed-4fbc-ba17-f15b1c8eca21&amp;cmpntname=GetDocumentsById&amp;source=library&amp;srv=cmpnt" TargetMode="External"/><Relationship Id="rId6" Type="http://schemas.openxmlformats.org/officeDocument/2006/relationships/hyperlink" Target="https://contrataciondelestado.es/wps/poc?uri=deeplink:detalle_licitacion&amp;idEvl=ltyldZlniPDmnwcj%2BxbdTg%3D%3D" TargetMode="External"/><Relationship Id="rId7" Type="http://schemas.openxmlformats.org/officeDocument/2006/relationships/hyperlink" Target="https://contrataciondelestado.es/wps/poc?uri=deeplink:detalle_licitacion&amp;idEvl=gDP7rTzDShQwYTJJ03sHog%3D%3D" TargetMode="External"/><Relationship Id="rId8" Type="http://schemas.openxmlformats.org/officeDocument/2006/relationships/hyperlink" Target="https://contrataciondelestado.es/wps/poc?uri=deeplink:detalle_licitacion&amp;idEvl=U6PkcmCKl%2FokJPJS%2BPS9vg%3D%3D" TargetMode="External"/><Relationship Id="rId9" Type="http://schemas.openxmlformats.org/officeDocument/2006/relationships/hyperlink" Target="https://www.boa.aragon.es/cgi-bin/EBOA/BRSCGI?CMD=VEROBJ&amp;MLKOB=1286303441111&amp;type=pdf" TargetMode="External"/><Relationship Id="rId10" Type="http://schemas.openxmlformats.org/officeDocument/2006/relationships/hyperlink" Target="https://www.aragon.es/documents/d/guest/3_p4-periodo-16-orden-de-la-consejera-de-industria_firmada" TargetMode="External"/><Relationship Id="rId11" Type="http://schemas.openxmlformats.org/officeDocument/2006/relationships/hyperlink" Target="https://236ws.dpteruel.es/estatico/boletines/2023/26abril.pdf" TargetMode="External"/><Relationship Id="rId12" Type="http://schemas.openxmlformats.org/officeDocument/2006/relationships/hyperlink" Target="https://contrataciondelestado.es/wps/poc?uri=deeplink:detalle_licitacion&amp;idEvl=jn9C4PfATATIGlsa0Wad%2Bw%3D%3D" TargetMode="External"/><Relationship Id="rId13" Type="http://schemas.openxmlformats.org/officeDocument/2006/relationships/hyperlink" Target="https://viver.es/ayuntamiento-3/" TargetMode="External"/><Relationship Id="rId14" Type="http://schemas.openxmlformats.org/officeDocument/2006/relationships/hyperlink" Target="https://contrataciondelestado.es/wps/poc?uri=deeplink:detalle_licitacion&amp;idEvl=F0BBwk0ZHKsadbH3CysQuQ%3D%3D" TargetMode="External"/><Relationship Id="rId15" Type="http://schemas.openxmlformats.org/officeDocument/2006/relationships/hyperlink" Target="https://www.ehu.eus/documents/d/iraunkortasuna/cuenca-01" TargetMode="External"/><Relationship Id="rId16" Type="http://schemas.openxmlformats.org/officeDocument/2006/relationships/hyperlink" Target="https://www.boe.es/boe/dias/2023/09/15/pdfs/BOE-A-2023-19490.pdf" TargetMode="External"/><Relationship Id="rId17" Type="http://schemas.openxmlformats.org/officeDocument/2006/relationships/hyperlink" Target="https://contrataciondelestado.es/wps/poc?uri=deeplink:detalle_licitacion&amp;idEvl=Qz6Qt7gv5ttq1DdmE7eaXg%3D%3D" TargetMode="External"/><Relationship Id="rId18" Type="http://schemas.openxmlformats.org/officeDocument/2006/relationships/hyperlink" Target="https://abegondo.gal/nformacion-institucional-organizativa-e-de-planificacion/" TargetMode="External"/><Relationship Id="rId19" Type="http://schemas.openxmlformats.org/officeDocument/2006/relationships/hyperlink" Target="https://www.rfebm.com/competiciones/equipo.php?id=1010949&amp;id_equipo=205044" TargetMode="External"/><Relationship Id="rId20" Type="http://schemas.openxmlformats.org/officeDocument/2006/relationships/hyperlink" Target="https://www.lavozdegalicia.es/noticia/coruna/abegondo/2023/05/10/abegondo/00031683726499750211271.htm" TargetMode="External"/><Relationship Id="rId21" Type="http://schemas.openxmlformats.org/officeDocument/2006/relationships/hyperlink" Target="https://contrataciondelestado.es/wps/poc?uri=deeplink:detalle_licitacion&amp;idEvl=ePnPMQh1Ak68ebB%2FXTwy0A%3D%3D" TargetMode="External"/><Relationship Id="rId22" Type="http://schemas.openxmlformats.org/officeDocument/2006/relationships/hyperlink" Target="https://contrataciondelestado.es/FileSystem/servlet/GetDocumentByIdServlet?DocumentIdParam=KG1w4htMIlzcQFGCEKRtU6PuSGKfVjmp49%2BvSIaIojo%2BaYq2BuDk%2FJnuSsjyLe%2Fs2eeni01PF6IejYUJfMOU6XBX9q529OPAFgmDqEZbek8%3D&amp;cifrado=QUC1GjXXSiLkydRHJBmbpw%3D%3D" TargetMode="External"/><Relationship Id="rId23" Type="http://schemas.openxmlformats.org/officeDocument/2006/relationships/hyperlink" Target="https://www.diariodecadiz.es/sanfernando/Designados-representantes-Ayuntamiento-San-Fernando-Mancomunidad_0_1813021444.html" TargetMode="External"/><Relationship Id="rId24" Type="http://schemas.openxmlformats.org/officeDocument/2006/relationships/hyperlink" Target="https://www.tegueste.es/la-corporacion/" TargetMode="External"/><Relationship Id="rId25" Type="http://schemas.openxmlformats.org/officeDocument/2006/relationships/hyperlink" Target="https://www.tegueste.es/noticias/2023/el-ayuntamiento-de-tegueste-formaliza-el-reparto-de-areas-de-gobierno/" TargetMode="External"/><Relationship Id="rId26" Type="http://schemas.openxmlformats.org/officeDocument/2006/relationships/hyperlink" Target="https://soplodeletras.com/aviso-legal/" TargetMode="External"/><Relationship Id="rId27" Type="http://schemas.openxmlformats.org/officeDocument/2006/relationships/hyperlink" Target="https://turismodeislascanarias.com/sites/default/files/convocatoria/aj33_24cp_res_definitiva_seleccion_valoracion_definitiva_mayo-junio_2025.pdf" TargetMode="External"/><Relationship Id="rId28" Type="http://schemas.openxmlformats.org/officeDocument/2006/relationships/hyperlink" Target="https://transparencia.turismodeislascanarias.com/sites/default/files/documents/Contratos_Formalizados_PROMOTUR.pdf" TargetMode="External"/><Relationship Id="rId29" Type="http://schemas.openxmlformats.org/officeDocument/2006/relationships/hyperlink" Target="https://contrataciondelestado.es/wps/poc?uri=deeplink:detalle_licitacion&amp;idEvl=7pSzW7VkXiYS7pcxhTeWOg%3D%3D" TargetMode="External"/><Relationship Id="rId30" Type="http://schemas.openxmlformats.org/officeDocument/2006/relationships/hyperlink" Target="https://contrataciondelestado.es/wps/poc?uri=deeplink:detalle_licitacion&amp;idEvl=Y5DwEEep%2FEyFQ%2FlhRK79lA%3D%3D" TargetMode="External"/><Relationship Id="rId31" Type="http://schemas.openxmlformats.org/officeDocument/2006/relationships/hyperlink" Target="https://doe.juntaex.es/pdfs/doe/2026/80o/26AC0001.pdf" TargetMode="External"/><Relationship Id="rId32" Type="http://schemas.openxmlformats.org/officeDocument/2006/relationships/hyperlink" Target="https://efe.com/deportes/2025-11-25/paralimpico-kini-carrasco-elecciones-extremenas/" TargetMode="External"/><Relationship Id="rId33" Type="http://schemas.openxmlformats.org/officeDocument/2006/relationships/hyperlink" Target="https://www.fundacionjd.com/wp-content/uploads/2024/04/MEMORIA-DE-ACTIVIDADES-FJYD-2023.pdf" TargetMode="External"/><Relationship Id="rId34" Type="http://schemas.openxmlformats.org/officeDocument/2006/relationships/hyperlink" Target="https://www.asambleaex.es/verdiputado-451" TargetMode="External"/><Relationship Id="rId35" Type="http://schemas.openxmlformats.org/officeDocument/2006/relationships/hyperlink" Target="https://contrataciondelestado.es/wps/poc?uri=deeplink:detalle_licitacion&amp;idEvl=BDZ88lsFjCx7h85%2Fpmmsfw%3D%3D" TargetMode="External"/><Relationship Id="rId36" Type="http://schemas.openxmlformats.org/officeDocument/2006/relationships/hyperlink" Target="https://contrataciondelestado.es/wps/poc?uri=deeplink:detalle_licitacion&amp;idEvl=%2Bj7vWwdYL9CFQ%2FlhRK79lA%3D%3D" TargetMode="External"/><Relationship Id="rId37" Type="http://schemas.openxmlformats.org/officeDocument/2006/relationships/hyperlink" Target="https://www.hacienda.gob.es/TACRC/Resoluciones/A%C3%B1o%202025/Recurso%200281-2025%20CLM%2024-2025%20%28Res%20684%29%2008-05-2025.pdf" TargetMode="External"/><Relationship Id="rId38" Type="http://schemas.openxmlformats.org/officeDocument/2006/relationships/hyperlink" Target="https://contrataciondelestado.es/FileSystem/servlet/GetDocumentByIdServlet?DocumentIdParam=5MSS43bEJMPax05CaleOvChq5UNNwNIlgYOuFXtW4vFhRTg18j3yC8byHybeDERpv6ge8uWCQR%2BEhTu9u3CI%2FlaHrXAdCJdOn%2Bmp%2Bzp8PFjVTD3T98KC0nSgQFM0q%2B5s&amp;cifrado=QUC1GjXXSiLkydRHJBmbpw%3D%3D" TargetMode="External"/><Relationship Id="rId39" Type="http://schemas.openxmlformats.org/officeDocument/2006/relationships/hyperlink" Target="https://contrataciondelestado.es/FileSystem/servlet/GetDocumentByIdServlet?DocumentIdParam=vCkHh17q%2F7o%2FZF9sQ6wEDGj4FwsAcZ6%2B8sMBpUDbZEgwBty%2FSYWp%2BdBjf%2BLitjl4g0s5LynS4Y8hllNlcWWFOCQ8h9PseRt3aTfcVaVdk%2FoZyAJWGsSt0OzTSTyw9JAs&amp;cifrado=QUC1GjXXSiLkydRHJBmbpw%3D%3D" TargetMode="External"/><Relationship Id="rId40" Type="http://schemas.openxmlformats.org/officeDocument/2006/relationships/hyperlink" Target="https://sanidad.castillalamancha.es/saladeprensa/notas-de-prensa/el-nuevo-contrato-de-transporte-sanitario-terrestre-aporta-en" TargetMode="External"/><Relationship Id="rId41" Type="http://schemas.openxmlformats.org/officeDocument/2006/relationships/hyperlink" Target="https://compracentralizada.aragon.es/catalogo-servicios-index/vigilancia-y-seguridad.html" TargetMode="External"/><Relationship Id="rId42" Type="http://schemas.openxmlformats.org/officeDocument/2006/relationships/hyperlink" Target="https://compracentralizada.aragon.es/media/catalog/category/16._Orden_adjudicacion_HAP_SCC_2024_20.pdf" TargetMode="External"/><Relationship Id="rId43" Type="http://schemas.openxmlformats.org/officeDocument/2006/relationships/hyperlink" Target="https://contrataciondelestado.es/FileSystem/servlet/GetDocumentByIdServlet?DocumentIdParam=i5fMyZP70%2BN3EBlzekETX3MmwwvXogsH1iIuHWKGrQ%2Bu7PIiQywAO07gJDPDRWOdC3KLqZOqU9xnUW%2Bvq%2B8zp0ZxGbi3fB9x4mJO1iZ7IKWHAj0WEJrB5sP7amrh2jBD&amp;cifrado=QUC1GjXXSiLkydRHJBmbpw%3D%3D" TargetMode="External"/><Relationship Id="rId44" Type="http://schemas.openxmlformats.org/officeDocument/2006/relationships/hyperlink" Target="https://transparencia.turismodeislascanarias.com/sites/default/files/documents/Contratos_Formalizados_PROMOTUR.pdf" TargetMode="External"/><Relationship Id="rId45" Type="http://schemas.openxmlformats.org/officeDocument/2006/relationships/hyperlink" Target="https://licitacion.turismodeislascanarias.com/licitacion/fichaExpte.do?idExpediente=3306&amp;nivel=3" TargetMode="External"/><Relationship Id="rId46" Type="http://schemas.openxmlformats.org/officeDocument/2006/relationships/hyperlink" Target="https://licitacion.turismodeislascanarias.com/licitacion/descargaAdjuntoPub?idAdjunto=53710" TargetMode="External"/><Relationship Id="rId47" Type="http://schemas.openxmlformats.org/officeDocument/2006/relationships/hyperlink" Target="https://contrataciondelestado.es/wps/poc?uri=deeplink:detalle_licitacion&amp;idEvl=crmtJnVJo3Y3vLk2DU2Ddg%3D%3D" TargetMode="External"/><Relationship Id="rId48" Type="http://schemas.openxmlformats.org/officeDocument/2006/relationships/hyperlink" Target="https://contrataciondelestado.es/FileSystem/servlet/GetDocumentByIdServlet?cifrado=QUC1GjXXSiLkydRHJBmbpw%3D%3D&amp;DocumentIdParam=EeamlVECv5qc1yJbBgdLuamDXRpFm9GxYhufDva3wSvpbrPUMkU/aiNDc1xoHTCm0bKf2WXUHd0TyEklzRSfi5wo%2BlOw7i0CrrzsBlooMjwC1/zDIE0Kw/PWNnLS0Z0z" TargetMode="External"/><Relationship Id="rId49" Type="http://schemas.openxmlformats.org/officeDocument/2006/relationships/hyperlink" Target="https://contrataciondelestado.es/FileSystem/servlet/GetDocumentByIdServlet?cifrado=QUC1GjXXSiLkydRHJBmbpw%3D%3D&amp;DocumentIdParam=CtmmTA%2BJf8wvXVWdivSQZOWxfXKNFKFBwGqwJENjkzu7jgrysIa6RcTQ6TMEDIQmJfIemQ1w%2BQtLkuBU7p/IxL7W6qVwvycxcoDDLwmRCSIZyAJWGsSt0OzTSTyw9JAs" TargetMode="External"/><Relationship Id="rId50" Type="http://schemas.openxmlformats.org/officeDocument/2006/relationships/hyperlink" Target="https://contrataciondelestado.es/wps/wcm/connect/PLACE_es/Site/area/docAccCmpnt?srv=cmpnt&amp;cmpntname=GetDocumentsById&amp;source=library&amp;DocumentIdParam=2025-29aaa8d7-4026-4df6-a5a4-2fcb8ed49dd2" TargetMode="External"/><Relationship Id="rId51" Type="http://schemas.openxmlformats.org/officeDocument/2006/relationships/hyperlink" Target="https://contrataciondelestado.es/wps/wcm/connect/PLACE_es/Site/area/docAccCmpnt?srv=cmpnt&amp;cmpntname=GetDocumentsById&amp;source=library&amp;DocumentIdParam=2025-7f7c48ec-6d0f-43f4-a34b-2900103265aa" TargetMode="External"/><Relationship Id="rId52" Type="http://schemas.openxmlformats.org/officeDocument/2006/relationships/hyperlink" Target="https://gudarjavalambre.es/index.php?Itemid=30&amp;catid=9&amp;edit_base=true&amp;id=17%3Acomisiones-y-representantes&amp;option=com_content&amp;view=article" TargetMode="External"/><Relationship Id="rId53" Type="http://schemas.openxmlformats.org/officeDocument/2006/relationships/hyperlink" Target="https://contrataciondelestado.es/wps/wcm/connect/PLACE_es/Site/area/docAccCmpnt?srv=cmpnt&amp;cmpntname=GetDocumentsById&amp;source=library&amp;DocumentIdParam=2025-3cc5af66-84c9-4695-8114-22c266a43b9d" TargetMode="External"/><Relationship Id="rId54" Type="http://schemas.openxmlformats.org/officeDocument/2006/relationships/hyperlink" Target="https://contrataciondelestado.es/wps/wcm/connect/PLACE_es/Site/area/docAccCmpnt?srv=cmpnt&amp;cmpntname=GetDocumentsById&amp;source=library&amp;DocumentIdParam=2025-38199471-ec6a-46ca-9bd6-8a46619bf01a" TargetMode="External"/><Relationship Id="rId55" Type="http://schemas.openxmlformats.org/officeDocument/2006/relationships/hyperlink" Target="https://www.comarcamatarranya.es/es/p/consejo-comarcal" TargetMode="External"/><Relationship Id="rId56" Type="http://schemas.openxmlformats.org/officeDocument/2006/relationships/hyperlink" Target="https://contrataciondelestado.es/FileSystem/servlet/GetDocumentByIdServlet?cifrado=QUC1GjXXSiLkydRHJBmbpw%3D%3D&amp;DocumentIdParam=sM3Lwe4JtdV6pQzf7QAsikgqi5htj8EfSLDx9UK5Lq8aQYK01SrelACUrgRZ7vlF7QiK8VHksmpmu7mefhJFM98c%2BvhC5uEjUD0BJjRVLhtt/o8fNevwsujgRzaBbugn" TargetMode="External"/><Relationship Id="rId57" Type="http://schemas.openxmlformats.org/officeDocument/2006/relationships/hyperlink" Target="https://contrataciondelestado.es/FileSystem/servlet/GetDocumentByIdServlet?cifrado=QUC1GjXXSiLkydRHJBmbpw%3D%3D&amp;DocumentIdParam=J33M70ZEhmguFUNI/XRGNyYHljnv7mv4nKNhbogDsNZY2OUIiDUOIbPaYL3dKFnkrEGSFJ1YEo24lijtsRbgwOTGY5VKQLrSHosN0fkMjX17QB3HKyQaFUExmUVQCerk" TargetMode="External"/><Relationship Id="rId58" Type="http://schemas.openxmlformats.org/officeDocument/2006/relationships/hyperlink" Target="https://contrataciondelestado.es/FileSystem/servlet/GetDocumentByIdServlet?DocumentIdParam=A1DGXSDSlxreqoUsgmLhTnAuo1YLvWRMkpj8592hUjZYrKKGwJ3LMuHK8dhtVnd0LyoCDTwuYfyuG8UffTbn70sp8lFmdsOOs%2F7HEw07%2BSV7QB3HKyQaFUExmUVQCerk&amp;cifrado=QUC1GjXXSiLkydRHJBmbpw%3D%3D" TargetMode="External"/><Relationship Id="rId59" Type="http://schemas.openxmlformats.org/officeDocument/2006/relationships/hyperlink" Target="https://contrataciondelestado.es/wps/poc?uri=deeplink:detalle_licitacion&amp;idEvl=%2Bj7vWwdYL9CFQ%2FlhRK79lA%3D%3D" TargetMode="External"/><Relationship Id="rId60" Type="http://schemas.openxmlformats.org/officeDocument/2006/relationships/hyperlink" Target="https://contrataciondelestado.es/wps/poc?uri=deeplink:detalle_licitacion&amp;idEvl=xQ5VVsO5XIrXOjazN1Dw9Q%3D%3D" TargetMode="External"/><Relationship Id="rId61" Type="http://schemas.openxmlformats.org/officeDocument/2006/relationships/hyperlink" Target="https://contrataciondelestado.es/wps/poc?uri=deeplink:detalle_licitacion&amp;idEvl=T4dZcAyiRSSGCFcHcNGIlQ%3D%3D" TargetMode="External"/><Relationship Id="rId62" Type="http://schemas.openxmlformats.org/officeDocument/2006/relationships/hyperlink" Target="https://turismodeislascanarias.com/sites/default/files/convocatoria/aj42_23cp-resolucion_seleccion_valoracion_definitiva_julio_2024.pdf" TargetMode="External"/><Relationship Id="rId63" Type="http://schemas.openxmlformats.org/officeDocument/2006/relationships/hyperlink" Target="https://turismodeislascanarias.com/sites/default/files/convocatoria/aj42_23cp-resolucion_seleccion_valoracion_adjudicacion_junio_2024.pdf" TargetMode="External"/><Relationship Id="rId64" Type="http://schemas.openxmlformats.org/officeDocument/2006/relationships/hyperlink" Target="https://turismodeislascanarias.com/sites/default/files/convocatoria/aj42_23cp_resolucion_definitiva_seleccion_mes_agosto_2024.pdf" TargetMode="External"/><Relationship Id="rId65" Type="http://schemas.openxmlformats.org/officeDocument/2006/relationships/hyperlink" Target="https://turismodeislascanarias.com/sites/default/files/convocatoria/resolucion_de_seleccion_y_valoracion_definitiva_-_septiembre_2024.pdf" TargetMode="External"/><Relationship Id="rId66" Type="http://schemas.openxmlformats.org/officeDocument/2006/relationships/hyperlink" Target="https://turismodeislascanarias.com/sites/default/files/convocatoria/aj33_24cp_res_definitiva_seleccion_valoracion_definitiva_mayo-junio_2025.pdf" TargetMode="External"/><Relationship Id="rId67" Type="http://schemas.openxmlformats.org/officeDocument/2006/relationships/hyperlink" Target="https://contrataciondelestado.es/FileSystem/servlet/GetDocumentByIdServlet?DocumentIdParam=Y8nMT8cpufwNP5NE7uO4PvT5sXqarBQre8Dfcmtw9RC1ECeYME2KHXReEIO4vJl0XicDsYN9GfcdFxphJUZiNYag8ZSpNNo2dc%2BOeZjBBaLDdQD9RyhUmzT4jZ2In4zL&amp;cifrado=QUC1GjXXSiLkydRHJBmbpw%3D%3D" TargetMode="External"/><Relationship Id="rId68" Type="http://schemas.openxmlformats.org/officeDocument/2006/relationships/hyperlink" Target="https://contrataciondelestado.es/FileSystem/servlet/GetDocumentByIdServlet?DocumentIdParam=ISj5NEi14AtNKLgLIMcnvcEfZzVXGjwWylVOoKeIVxDrkfPBC02fLXS0HqNNTXITlaLi8rSlp16XoRiSOKztRcx8pimWj1BSq7jC/I91%2BANt/o8fNevwsujgRzaBbugn&amp;cifrado=QUC1GjXXSiLkydRHJBmbpw%3D%3D" TargetMode="External"/><Relationship Id="rId69" Type="http://schemas.openxmlformats.org/officeDocument/2006/relationships/hyperlink" Target="https://contrataciondelestado.es/FileSystem/servlet/GetDocumentByIdServlet?DocumentIdParam=UHyUo4AexfFUVBR4AY5D%2BG4AolmweKwRkB1Ys7euQBl1t7tdddaENb%2Bglfq9xFAyJG/AFPZH74J7sU5G48bs64gcdKe2XPkCPUFIu1hE7lM//q7NB2iMZvNyf0xrJmjt&amp;cifrado=QUC1GjXXSiLkydRHJBmbpw%3D%3D" TargetMode="External"/></Relationships>
</file>

<file path=xl/worksheets/_rels/sheet6.xml.rels>&#65279;<?xml version="1.0" encoding="utf-8"?><Relationships xmlns="http://schemas.openxmlformats.org/package/2006/relationships"><Relationship Type="http://schemas.openxmlformats.org/officeDocument/2006/relationships/table" Target="/xl/tables/table5.xml" Id="R4b3f5a85b02c4355" /><Relationship Id="rId1" Type="http://schemas.openxmlformats.org/officeDocument/2006/relationships/hyperlink" Target="https://contrataciondelestado.es/wps/poc?uri=deeplink:detalle_licitacion&amp;idEvl=Bw%2BtY1gBGzXVGIpKDxgsAQ%3D%3D" TargetMode="External"/><Relationship Id="rId2" Type="http://schemas.openxmlformats.org/officeDocument/2006/relationships/hyperlink" Target="https://contrataciondelestado.es/FileSystem/servlet/GetDocumentByIdServlet?cifrado=QUC1GjXXSiLkydRHJBmbpw%3D%3D&amp;DocumentIdParam=EeamlVECv5qc1yJbBgdLuamDXRpFm9GxYhufDva3wSvpbrPUMkU/aiNDc1xoHTCm0bKf2WXUHd0TyEklzRSfi5wo%2BlOw7i0CrrzsBlooMjwC1/zDIE0Kw/PWNnLS0Z0z" TargetMode="External"/><Relationship Id="rId3" Type="http://schemas.openxmlformats.org/officeDocument/2006/relationships/hyperlink" Target="https://contrataciondelestado.es/FileSystem/servlet/GetDocumentByIdServlet?cifrado=QUC1GjXXSiLkydRHJBmbpw%3D%3D&amp;DocumentIdParam=EeamlVECv5qc1yJbBgdLuamDXRpFm9GxYhufDva3wSvpbrPUMkU/aiNDc1xoHTCm0bKf2WXUHd0TyEklzRSfi5wo%2BlOw7i0CrrzsBlooMjwC1/zDIE0Kw/PWNnLS0Z0z" TargetMode="External"/><Relationship Id="rId4" Type="http://schemas.openxmlformats.org/officeDocument/2006/relationships/hyperlink" Target="https://contrataciondelestado.es/FileSystem/servlet/GetDocumentByIdServlet?cifrado=QUC1GjXXSiLkydRHJBmbpw%3D%3D&amp;DocumentIdParam=CtmmTA%2BJf8wvXVWdivSQZOWxfXKNFKFBwGqwJENjkzu7jgrysIa6RcTQ6TMEDIQmJfIemQ1w%2BQtLkuBU7p/IxL7W6qVwvycxcoDDLwmRCSIZyAJWGsSt0OzTSTyw9JAs" TargetMode="External"/><Relationship Id="rId5" Type="http://schemas.openxmlformats.org/officeDocument/2006/relationships/hyperlink" Target="https://www.cidones.es/corporacion" TargetMode="External"/><Relationship Id="rId6" Type="http://schemas.openxmlformats.org/officeDocument/2006/relationships/hyperlink" Target="https://contrataciondelestado.es/wps/wcm/connect/PLACE_es/Site/area/docAccCmpnt?srv=cmpnt&amp;cmpntname=GetDocumentsById&amp;source=library&amp;DocumentIdParam=2025-29aaa8d7-4026-4df6-a5a4-2fcb8ed49dd2" TargetMode="External"/><Relationship Id="rId7" Type="http://schemas.openxmlformats.org/officeDocument/2006/relationships/hyperlink" Target="https://contrataciondelestado.es/wps/wcm/connect/PLACE_es/Site/area/docAccCmpnt?srv=cmpnt&amp;cmpntname=GetDocumentsById&amp;source=library&amp;DocumentIdParam=2025-7f7c48ec-6d0f-43f4-a34b-2900103265aa" TargetMode="External"/><Relationship Id="rId8" Type="http://schemas.openxmlformats.org/officeDocument/2006/relationships/hyperlink" Target="https://www.illar.es/Servicios/Tablon/anexos.nsf/B82EBCBBB1530428C1258C28004C2B4B/%24file/DOC_CAN_ADJ2025-000122856.pdf" TargetMode="External"/><Relationship Id="rId9" Type="http://schemas.openxmlformats.org/officeDocument/2006/relationships/hyperlink" Target="https://www.illar.es/Servicios/Tablon/anexos.nsf/B82EBCBBB1530428C1258C28004C2B4B/%24file/DOC_CAN_ADJ2025-000122856.pdf" TargetMode="External"/><Relationship Id="rId10" Type="http://schemas.openxmlformats.org/officeDocument/2006/relationships/hyperlink" Target="https://contrataciondelestado.es/wps/wcm/connect/PLACE_es/Site/area/docAccCmpnt?DocumentIdParam=884c51bb-42ed-4fbc-ba17-f15b1c8eca21&amp;cmpntname=GetDocumentsById&amp;source=library&amp;srv=cmpnt" TargetMode="External"/><Relationship Id="rId11" Type="http://schemas.openxmlformats.org/officeDocument/2006/relationships/hyperlink" Target="https://gudarjavalambre.es/index.php?Itemid=30&amp;catid=9&amp;edit_base=true&amp;id=17%3Acomisiones-y-representantes&amp;option=com_content&amp;view=article" TargetMode="External"/><Relationship Id="rId12" Type="http://schemas.openxmlformats.org/officeDocument/2006/relationships/hyperlink" Target="https://contrataciondelestado.es/wps/poc?uri=deeplink:detalle_licitacion&amp;idEvl=ltyldZlniPDmnwcj%2BxbdTg%3D%3D" TargetMode="External"/><Relationship Id="rId13" Type="http://schemas.openxmlformats.org/officeDocument/2006/relationships/hyperlink" Target="https://contrataciondelestado.es/wps/poc?uri=deeplink:detalle_licitacion&amp;idEvl=ltyldZlniPDmnwcj%2BxbdTg%3D%3D" TargetMode="External"/><Relationship Id="rId14" Type="http://schemas.openxmlformats.org/officeDocument/2006/relationships/hyperlink" Target="https://www.comarcamatarranya.es/es/p/consejo-comarcal" TargetMode="External"/><Relationship Id="rId15" Type="http://schemas.openxmlformats.org/officeDocument/2006/relationships/hyperlink" Target="https://contrataciondelestado.es/wps/wcm/connect/PLACE_es/Site/area/docAccCmpnt?srv=cmpnt&amp;cmpntname=GetDocumentsById&amp;source=library&amp;DocumentIdParam=2025-3cc5af66-84c9-4695-8114-22c266a43b9d" TargetMode="External"/><Relationship Id="rId16" Type="http://schemas.openxmlformats.org/officeDocument/2006/relationships/hyperlink" Target="https://contrataciondelestado.es/wps/poc?uri=deeplink:detalle_licitacion&amp;idEvl=U6PkcmCKl%2FokJPJS%2BPS9vg%3D%3D" TargetMode="External"/><Relationship Id="rId17" Type="http://schemas.openxmlformats.org/officeDocument/2006/relationships/hyperlink" Target="https://contrataciondelestado.es/wps/poc?uri=deeplink:detalle_licitacion&amp;idEvl=U6PkcmCKl%2FokJPJS%2BPS9vg%3D%3D" TargetMode="External"/><Relationship Id="rId18" Type="http://schemas.openxmlformats.org/officeDocument/2006/relationships/hyperlink" Target="https://contrataciondelestado.es/wps/poc?uri=deeplink:detalle_licitacion&amp;idEvl=jn9C4PfATATIGlsa0Wad%2Bw%3D%3D" TargetMode="External"/><Relationship Id="rId19" Type="http://schemas.openxmlformats.org/officeDocument/2006/relationships/hyperlink" Target="https://contrataciondelestado.es/FileSystem/servlet/GetDocumentByIdServlet?cifrado=QUC1GjXXSiLkydRHJBmbpw%3D%3D&amp;DocumentIdParam=J33M70ZEhmguFUNI/XRGNyYHljnv7mv4nKNhbogDsNZY2OUIiDUOIbPaYL3dKFnkrEGSFJ1YEo24lijtsRbgwOTGY5VKQLrSHosN0fkMjX17QB3HKyQaFUExmUVQCerk" TargetMode="External"/><Relationship Id="rId20" Type="http://schemas.openxmlformats.org/officeDocument/2006/relationships/hyperlink" Target="https://contrataciondelestado.es/FileSystem/servlet/GetDocumentByIdServlet?cifrado=QUC1GjXXSiLkydRHJBmbpw%3D%3D&amp;DocumentIdParam=sM3Lwe4JtdV6pQzf7QAsikgqi5htj8EfSLDx9UK5Lq8aQYK01SrelACUrgRZ7vlF7QiK8VHksmpmu7mefhJFM98c%2BvhC5uEjUD0BJjRVLhtt/o8fNevwsujgRzaBbugn" TargetMode="External"/><Relationship Id="rId21" Type="http://schemas.openxmlformats.org/officeDocument/2006/relationships/hyperlink" Target="https://abegondo.gal/nformacion-institucional-organizativa-e-de-planificacion/" TargetMode="External"/><Relationship Id="rId22" Type="http://schemas.openxmlformats.org/officeDocument/2006/relationships/hyperlink" Target="https://contrataciondelestado.es/wps/poc?uri=deeplink:detalle_licitacion&amp;idEvl=%2Bj7vWwdYL9CFQ%2FlhRK79lA%3D%3D" TargetMode="External"/><Relationship Id="rId23" Type="http://schemas.openxmlformats.org/officeDocument/2006/relationships/hyperlink" Target="https://contrataciondelestado.es/FileSystem/servlet/GetDocumentByIdServlet?DocumentIdParam=A1DGXSDSlxreqoUsgmLhTnAuo1YLvWRMkpj8592hUjZYrKKGwJ3LMuHK8dhtVnd0LyoCDTwuYfyuG8UffTbn70sp8lFmdsOOs%2F7HEw07%2BSV7QB3HKyQaFUExmUVQCerk&amp;cifrado=QUC1GjXXSiLkydRHJBmbpw%3D%3D" TargetMode="External"/><Relationship Id="rId24" Type="http://schemas.openxmlformats.org/officeDocument/2006/relationships/hyperlink" Target="https://turismodeislascanarias.com/sites/default/files/convocatoria/aj33_24cp_res_definitiva_seleccion_valoracion_definitiva_mayo-junio_2025.pdf" TargetMode="External"/><Relationship Id="rId25" Type="http://schemas.openxmlformats.org/officeDocument/2006/relationships/hyperlink" Target="https://contrataciondelestado.es/FileSystem/servlet/GetDocumentByIdServlet?DocumentIdParam=Y8nMT8cpufwNP5NE7uO4PvT5sXqarBQre8Dfcmtw9RC1ECeYME2KHXReEIO4vJl0XicDsYN9GfcdFxphJUZiNYag8ZSpNNo2dc%2BOeZjBBaLDdQD9RyhUmzT4jZ2In4zL&amp;cifrado=QUC1GjXXSiLkydRHJBmbpw%3D%3D" TargetMode="External"/></Relationships>
</file>

<file path=xl/worksheets/sheet1.xml><?xml version="1.0" encoding="utf-8"?><x:worksheet xmlns:x="http://schemas.openxmlformats.org/spreadsheetml/2006/main"><x:sheetViews><x:sheetView showGridLines="0" workbookViewId="0" /></x:sheetViews><x:sheetFormatPr defaultRowHeight="15" /><x:cols><x:col min="1" max="1" width="20" hidden="0" customWidth="1" /><x:col min="2" max="2" width="22" hidden="0" customWidth="1" /><x:col min="3" max="3" width="6" hidden="0" customWidth="1" /><x:col min="4" max="4" width="7"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6" hidden="0" customWidth="1" /><x:col min="13" max="13" width="16" hidden="0" customWidth="1" /><x:col min="14" max="14" width="16" hidden="0" customWidth="1" /><x:col min="15" max="15" width="16" hidden="0" customWidth="1" /></x:cols><x:sheetData><x:row r="1" ht="24" customHeight="1"><x:c r="A1" s="4" t="str"><x:v>Evidencia de indicios de integridad política</x:v></x:c><x:c r="B1" s="4" /><x:c r="C1" s="4" /><x:c r="D1" s="4" /><x:c r="E1" s="4" /><x:c r="F1" s="4" /><x:c r="G1" s="4" /><x:c r="H1" s="4" /><x:c r="I1" s="4" /><x:c r="J1" s="4" /><x:c r="K1" s="4" /><x:c r="L1" s="4" /><x:c r="M1" s="4" /><x:c r="N1" s="4" /><x:c r="O1" s="4" /></x:row><x:row r="2" ht="24" customHeight="1"><x:c r="A2" s="4" /><x:c r="B2" s="4" /><x:c r="C2" s="4" /><x:c r="D2" s="4" /><x:c r="E2" s="4" /><x:c r="F2" s="4" /><x:c r="G2" s="4" /><x:c r="H2" s="4" /><x:c r="I2" s="4" /><x:c r="J2" s="4" /><x:c r="K2" s="4" /><x:c r="L2" s="4" /><x:c r="M2" s="4" /><x:c r="N2" s="4" /><x:c r="O2" s="4" /></x:row><x:row r="3" ht="30" hidden="0" customHeight="1"><x:c r="A3" s="8" t="str"><x:v>Resultado: 2 conflictos directos como señal administrativa, 2 revisiones prioritarias, 1 identidad no confirmable y 3 casos aclarados o descartados. Las 25 diligencias previstas fueron ejecutadas; no equivale a condena penal.</x:v></x:c><x:c r="B3" s="8" /><x:c r="C3" s="8" /><x:c r="D3" s="8" /><x:c r="E3" s="8" /><x:c r="F3" s="8" /><x:c r="G3" s="8" /><x:c r="H3" s="8" /><x:c r="I3" s="8" /><x:c r="J3" s="8" /><x:c r="K3" s="8" /><x:c r="L3" s="8" /><x:c r="M3" s="8" /><x:c r="N3" s="8" /><x:c r="O3" s="8" /></x:row><x:row r="4" ht="15" hidden="0" customHeight="1"><x:c r="A4" s="93" /><x:c r="B4" s="93" /><x:c r="C4" s="93" /><x:c r="D4" s="93" /><x:c r="E4" s="93" /><x:c r="F4" s="93" /><x:c r="G4" s="93" /><x:c r="H4" s="93" /><x:c r="I4" s="93" /><x:c r="J4" s="93" /><x:c r="K4" s="93" /><x:c r="L4" s="93" /><x:c r="M4" s="93" /><x:c r="N4" s="93" /><x:c r="O4" s="93" /></x:row><x:row r="5" ht="15" hidden="0" customHeight="1"><x:c r="A5" s="54" t="str"><x:v>Personas revisadas</x:v></x:c><x:c r="B5" s="54" /><x:c r="C5" s="54" /><x:c r="D5" s="54" t="str"><x:v>Conflictos directos</x:v></x:c><x:c r="E5" s="54" /><x:c r="F5" s="54" /><x:c r="G5" s="54" t="str"><x:v>Revisión prioritaria</x:v></x:c><x:c r="H5" s="54" /><x:c r="I5" s="54" /><x:c r="J5" s="54" t="str"><x:v>Identidad no confirmable</x:v></x:c><x:c r="K5" s="54" /><x:c r="L5" s="54" /><x:c r="M5" s="54" t="str"><x:v>Aclarados/descartados</x:v></x:c><x:c r="N5" s="54" /><x:c r="O5" s="54" /></x:row><x:row r="6"><x:c r="A6" s="57" t="n"><x:f>COUNTA('Matriz de casos'!$A$6:$A$16)</x:f><x:v>11</x:v></x:c><x:c r="B6" s="57" /><x:c r="C6" s="57" /><x:c r="D6" s="61" t="n"><x:f>COUNTIF('Matriz de casos'!$O$6:$O$16,"Conflicto directo")</x:f><x:v>2</x:v></x:c><x:c r="E6" s="61" /><x:c r="F6" s="61" /><x:c r="G6" s="65" t="n"><x:f>COUNTIF('Matriz de casos'!$O$6:$O$16,"Revisión prioritaria")</x:f><x:v>2</x:v></x:c><x:c r="H6" s="65" /><x:c r="I6" s="65" /><x:c r="J6" s="69" t="n"><x:f>COUNTIF('Matriz de casos'!$O$6:$O$16,"Identidad no confirmable")</x:f><x:v>1</x:v></x:c><x:c r="K6" s="69" /><x:c r="L6" s="69" /><x:c r="M6" s="73" t="n"><x:f>COUNTIF('Matriz de casos'!$O$6:$O$16,"Aclarado con contexto")+COUNTIF('Matriz de casos'!$O$6:$O$16,"Descartado por temporalidad")</x:f><x:v>3</x:v></x:c><x:c r="N6" s="73" /><x:c r="O6" s="73" /></x:row><x:row r="7"><x:c r="A7" s="57" /><x:c r="B7" s="57" /><x:c r="C7" s="57" /><x:c r="D7" s="61" /><x:c r="E7" s="61" /><x:c r="F7" s="61" /><x:c r="G7" s="65" /><x:c r="H7" s="65" /><x:c r="I7" s="65" /><x:c r="J7" s="69" /><x:c r="K7" s="69" /><x:c r="L7" s="69" /><x:c r="M7" s="73" /><x:c r="N7" s="73" /><x:c r="O7" s="73" /></x:row><x:row r="8"><x:c r="A8" s="57" /><x:c r="B8" s="57" /><x:c r="C8" s="57" /><x:c r="D8" s="61" /><x:c r="E8" s="61" /><x:c r="F8" s="61" /><x:c r="G8" s="65" /><x:c r="H8" s="65" /><x:c r="I8" s="65" /><x:c r="J8" s="69" /><x:c r="K8" s="69" /><x:c r="L8" s="69" /><x:c r="M8" s="73" /><x:c r="N8" s="73" /><x:c r="O8" s="73" /></x:row><x:row r="9" ht="15" hidden="0" customHeight="1"><x:c r="A9" s="93" /><x:c r="B9" s="93" /><x:c r="C9" s="93" /><x:c r="D9" s="93" /><x:c r="E9" s="93" /><x:c r="F9" s="93" /><x:c r="G9" s="93" /><x:c r="H9" s="93" /><x:c r="I9" s="93" /><x:c r="J9" s="93" /><x:c r="K9" s="93" /><x:c r="L9" s="93" /><x:c r="M9" s="93" /><x:c r="N9" s="93" /><x:c r="O9" s="93" /></x:row><x:row r="10" ht="15" hidden="0" customHeight="1"><x:c r="A10" s="13" t="str"><x:v>Base y alcance</x:v></x:c><x:c r="B10" s="13" /><x:c r="C10" s="13" /><x:c r="D10" s="13" t="str"><x:v>Documentos no publicados que deben exigirse</x:v></x:c><x:c r="E10" s="13" /><x:c r="F10" s="13" /><x:c r="G10" s="13" /><x:c r="H10" s="13" /><x:c r="I10" s="13" /><x:c r="J10" s="13" /><x:c r="K10" s="13" /><x:c r="L10" s="13" /><x:c r="M10" s="13" /><x:c r="N10" s="13" /><x:c r="O10" s="13" /></x:row><x:row r="11" ht="15" hidden="0" customHeight="1"><x:c r="A11" s="83" t="str"><x:v>Fecha de revisión</x:v></x:c><x:c r="B11" s="82" t="n"><x:v>46246</x:v></x:c><x:c r="C11" s="81" /><x:c r="D11" s="24" t="n"><x:v>1</x:v></x:c><x:c r="E11" s="83" t="str"><x:v>C-01 Ayuntamiento de Cidones</x:v></x:c><x:c r="F11" s="83" /><x:c r="G11" s="83" /><x:c r="H11" s="81" t="str"><x:v>Expediente 1/2025 íntegro, valoración, invitaciones, resolución firmada, abstención y cobros.</x:v></x:c><x:c r="I11" s="81" /><x:c r="J11" s="81" /><x:c r="K11" s="81" /><x:c r="L11" s="81" /><x:c r="M11" s="81" /><x:c r="N11" s="81" /><x:c r="O11" s="81" /></x:row><x:row r="12" ht="21.600000381469727" hidden="0" customHeight="1"><x:c r="A12" s="83" t="str"><x:v>Contratación pública</x:v></x:c><x:c r="B12" s="84" t="str"><x:v>Plataforma de Contratación del Sector Público (PLACSP)</x:v></x:c><x:c r="C12" s="84" /><x:c r="D12" s="24" t="n"><x:v>2</x:v></x:c><x:c r="E12" s="89" t="str"><x:v>C-02 Ayuntamiento de Íllar</x:v></x:c><x:c r="F12" s="89" /><x:c r="G12" s="89" /><x:c r="H12" s="88" t="str"><x:v>Abstención/recusación, contrato concesional, liquidaciones y pagos del canon.</x:v></x:c><x:c r="I12" s="88" /><x:c r="J12" s="88" /><x:c r="K12" s="88" /><x:c r="L12" s="88" /><x:c r="M12" s="88" /><x:c r="N12" s="88" /><x:c r="O12" s="88" /></x:row><x:row r="13" ht="21.600000381469727" hidden="0" customHeight="1"><x:c r="A13" s="83" t="str"><x:v>Elecciones locales</x:v></x:c><x:c r="B13" s="84" t="str"><x:v>Resultados electorales publicados en el Boletín Oficial del Estado</x:v></x:c><x:c r="C13" s="84" /><x:c r="D13" s="29" t="n"><x:v>3</x:v></x:c><x:c r="E13" s="83" t="str"><x:v>S-01 SESCAM</x:v></x:c><x:c r="F13" s="83" /><x:c r="G13" s="83" /><x:c r="H13" s="81" t="str"><x:v>Informes, resoluciones, invitaciones, negociación y estudio de costes de los 22 contratos puente.</x:v></x:c><x:c r="I13" s="81" /><x:c r="J13" s="81" /><x:c r="K13" s="81" /><x:c r="L13" s="81" /><x:c r="M13" s="81" /><x:c r="N13" s="81" /><x:c r="O13" s="81" /></x:row><x:row r="14" ht="21.600000381469727" hidden="0" customHeight="1"><x:c r="A14" s="83" t="str"><x:v>Cargos comarcales</x:v></x:c><x:c r="B14" s="84" t="str"><x:v>Proclamación del Consejo Comarcal del Matarraña-Matarranya (BOA)</x:v></x:c><x:c r="C14" s="84" /><x:c r="D14" s="29" t="n"><x:v>4</x:v></x:c><x:c r="E14" s="89" t="str"><x:v>C-04 Comarca del Matarraña</x:v></x:c><x:c r="F14" s="89" /><x:c r="G14" s="89" /><x:c r="H14" s="88" t="str"><x:v>Tasación íntegra, resolución firmada, abstenciones, escritura y justificante de pago.</x:v></x:c><x:c r="I14" s="88" /><x:c r="J14" s="88" /><x:c r="K14" s="88" /><x:c r="L14" s="88" /><x:c r="M14" s="88" /><x:c r="N14" s="88" /><x:c r="O14" s="88" /></x:row><x:row r="15" ht="21.600000381469727" hidden="0" customHeight="1"><x:c r="A15" s="83" t="str"><x:v>Cargos autonómicos</x:v></x:c><x:c r="B15" s="84" t="str"><x:v>Constitución de la Asamblea de Extremadura (DOE)</x:v></x:c><x:c r="C15" s="84" /><x:c r="D15" s="34" t="n"><x:v>5</x:v></x:c><x:c r="E15" s="83" t="str"><x:v>S-04 Diputación de Cádiz</x:v></x:c><x:c r="F15" s="83" /><x:c r="G15" s="83" /><x:c r="H15" s="81" t="str"><x:v>Actas de negociación, facturas, pagos y memorias de impacto de tres patrocinios.</x:v></x:c><x:c r="I15" s="81" /><x:c r="J15" s="81" /><x:c r="K15" s="81" /><x:c r="L15" s="81" /><x:c r="M15" s="81" /><x:c r="N15" s="81" /><x:c r="O15" s="81" /></x:row><x:row r="16" ht="21.600000381469727" hidden="0" customHeight="1"><x:c r="A16" s="83" t="str"><x:v>Transparencia contractual</x:v></x:c><x:c r="B16" s="84" t="str"><x:v>Registro público de contratos formalizados de Promotur</x:v></x:c><x:c r="C16" s="84" /><x:c r="D16" s="93" /><x:c r="E16" s="93" /><x:c r="F16" s="93" /><x:c r="G16" s="93" /><x:c r="H16" s="93" /><x:c r="I16" s="93" /><x:c r="J16" s="93" /><x:c r="K16" s="93" /><x:c r="L16" s="93" /><x:c r="M16" s="93" /><x:c r="N16" s="93" /><x:c r="O16" s="93" /></x:row><x:row r="17" ht="15" hidden="0" customHeight="1"><x:c r="A17" s="93" /><x:c r="B17" s="93" /><x:c r="C17" s="93" /><x:c r="D17" s="93" /><x:c r="E17" s="93" /><x:c r="F17" s="93" /><x:c r="G17" s="93" /><x:c r="H17" s="93" /><x:c r="I17" s="93" /><x:c r="J17" s="93" /><x:c r="K17" s="93" /><x:c r="L17" s="93" /><x:c r="M17" s="93" /><x:c r="N17" s="93" /><x:c r="O17" s="93" /></x:row><x:row r="18" ht="15" hidden="0" customHeight="1"><x:c r="A18" s="93" /><x:c r="B18" s="93" /><x:c r="C18" s="93" /><x:c r="D18" s="93" /><x:c r="E18" s="93" /><x:c r="F18" s="93" /><x:c r="G18" s="93" /><x:c r="H18" s="93" /><x:c r="I18" s="93" /><x:c r="J18" s="93" /><x:c r="K18" s="93" /><x:c r="L18" s="93" /><x:c r="M18" s="93" /><x:c r="N18" s="93" /><x:c r="O18" s="93" /></x:row><x:row r="19" ht="15" hidden="0" customHeight="1"><x:c r="A19" s="13" t="str"><x:v>Estado</x:v></x:c><x:c r="B19" s="13" t="str"><x:v>Casos</x:v></x:c><x:c r="C19" s="93" /><x:c r="D19" s="93" /><x:c r="E19" s="93" /><x:c r="F19" s="93" /><x:c r="G19" s="93" /><x:c r="H19" s="93" /><x:c r="I19" s="93" /><x:c r="J19" s="93" /><x:c r="K19" s="93" /><x:c r="L19" s="13" t="str"><x:v>Lectura responsable</x:v></x:c><x:c r="M19" s="13" /><x:c r="N19" s="13" /><x:c r="O19" s="13" /></x:row><x:row r="20" ht="15" hidden="0" customHeight="1"><x:c r="A20" s="16" t="str"><x:v>Conflicto directo</x:v></x:c><x:c r="B20" s="19" t="n"><x:f>COUNTIF('Matriz de casos'!$O$6:$O$16,"Conflicto directo")</x:f><x:v>2</x:v></x:c><x:c r="C20" s="93" /><x:c r="D20" s="93" /><x:c r="E20" s="93" /><x:c r="F20" s="93" /><x:c r="G20" s="93" /><x:c r="H20" s="93" /><x:c r="I20" s="93" /><x:c r="J20" s="93" /><x:c r="K20" s="93" /><x:c r="L20" s="94" t="str"><x:v>Rojo no significa culpabilidad penal. Significa que existe interés privado directo o documentación crítica no publicada. Verde significa que el contexto temporal o procedimental explica la alerta inicial. Todo caso conserva enlaces a registros públicos y las 25 diligencias realizadas.</x:v></x:c><x:c r="M20" s="94" /><x:c r="N20" s="94" /><x:c r="O20" s="94" /></x:row><x:row r="21" ht="15" hidden="0" customHeight="1"><x:c r="A21" s="16" t="str"><x:v>Revisión prioritaria</x:v></x:c><x:c r="B21" s="19" t="n"><x:f>COUNTIF('Matriz de casos'!$O$6:$O$16,"Revisión prioritaria")</x:f><x:v>2</x:v></x:c><x:c r="C21" s="93" /><x:c r="D21" s="93" /><x:c r="E21" s="93" /><x:c r="F21" s="93" /><x:c r="G21" s="93" /><x:c r="H21" s="93" /><x:c r="I21" s="93" /><x:c r="J21" s="93" /><x:c r="K21" s="93" /><x:c r="L21" s="94" /><x:c r="M21" s="94" /><x:c r="N21" s="94" /><x:c r="O21" s="94" /></x:row><x:row r="22" ht="15" hidden="0" customHeight="1"><x:c r="A22" s="16" t="str"><x:v>Identidad no confirmable</x:v></x:c><x:c r="B22" s="19" t="n"><x:f>COUNTIF('Matriz de casos'!$O$6:$O$16,"Identidad no confirmable")</x:f><x:v>1</x:v></x:c><x:c r="C22" s="93" /><x:c r="D22" s="93" /><x:c r="E22" s="93" /><x:c r="F22" s="93" /><x:c r="G22" s="93" /><x:c r="H22" s="93" /><x:c r="I22" s="93" /><x:c r="J22" s="93" /><x:c r="K22" s="93" /><x:c r="L22" s="94" /><x:c r="M22" s="94" /><x:c r="N22" s="94" /><x:c r="O22" s="94" /></x:row><x:row r="23" ht="15" hidden="0" customHeight="1"><x:c r="A23" s="16" t="str"><x:v>Control de compatibilidad</x:v></x:c><x:c r="B23" s="19" t="n"><x:f>COUNTIF('Matriz de casos'!$O$6:$O$16,"Control de compatibilidad")</x:f><x:v>3</x:v></x:c><x:c r="C23" s="93" /><x:c r="D23" s="93" /><x:c r="E23" s="93" /><x:c r="F23" s="93" /><x:c r="G23" s="93" /><x:c r="H23" s="93" /><x:c r="I23" s="93" /><x:c r="J23" s="93" /><x:c r="K23" s="93" /><x:c r="L23" s="94" /><x:c r="M23" s="94" /><x:c r="N23" s="94" /><x:c r="O23" s="94" /></x:row><x:row r="24" ht="15" hidden="0" customHeight="1"><x:c r="A24" s="16" t="str"><x:v>Aclarado con contexto</x:v></x:c><x:c r="B24" s="19" t="n"><x:f>COUNTIF('Matriz de casos'!$O$6:$O$16,"Aclarado con contexto")</x:f><x:v>1</x:v></x:c><x:c r="C24" s="93" /><x:c r="D24" s="93" /><x:c r="E24" s="93" /><x:c r="F24" s="93" /><x:c r="G24" s="93" /><x:c r="H24" s="93" /><x:c r="I24" s="93" /><x:c r="J24" s="93" /><x:c r="K24" s="93" /><x:c r="L24" s="94" /><x:c r="M24" s="94" /><x:c r="N24" s="94" /><x:c r="O24" s="94" /></x:row><x:row r="25" ht="15" hidden="0" customHeight="1"><x:c r="A25" s="16" t="str"><x:v>Descartado por temporalidad</x:v></x:c><x:c r="B25" s="19" t="n"><x:f>COUNTIF('Matriz de casos'!$O$6:$O$16,"Descartado por temporalidad")</x:f><x:v>2</x:v></x:c><x:c r="C25" s="93" /><x:c r="D25" s="93" /><x:c r="E25" s="93" /><x:c r="F25" s="93" /><x:c r="G25" s="93" /><x:c r="H25" s="93" /><x:c r="I25" s="93" /><x:c r="J25" s="93" /><x:c r="K25" s="93" /><x:c r="L25" s="94" /><x:c r="M25" s="94" /><x:c r="N25" s="94" /><x:c r="O25" s="94" /></x:row></x:sheetData><x:mergeCells><x:mergeCell ref="A1:O2" /><x:mergeCell ref="A3:O3" /><x:mergeCell ref="A5:C5" /><x:mergeCell ref="A6:C8" /><x:mergeCell ref="D5:F5" /><x:mergeCell ref="D6:F8" /><x:mergeCell ref="G5:I5" /><x:mergeCell ref="G6:I8" /><x:mergeCell ref="J5:L5" /><x:mergeCell ref="J6:L8" /><x:mergeCell ref="M5:O5" /><x:mergeCell ref="M6:O8" /><x:mergeCell ref="A10:C10" /><x:mergeCell ref="B11:C11" /><x:mergeCell ref="B12:C12" /><x:mergeCell ref="B13:C13" /><x:mergeCell ref="B14:C14" /><x:mergeCell ref="B15:C15" /><x:mergeCell ref="B16:C16" /><x:mergeCell ref="D10:O10" /><x:mergeCell ref="E11:G11" /><x:mergeCell ref="H11:O11" /><x:mergeCell ref="E12:G12" /><x:mergeCell ref="H12:O12" /><x:mergeCell ref="E13:G13" /><x:mergeCell ref="H13:O13" /><x:mergeCell ref="E14:G14" /><x:mergeCell ref="H14:O14" /><x:mergeCell ref="E15:G15" /><x:mergeCell ref="H15:O15" /><x:mergeCell ref="L19:O19" /><x:mergeCell ref="L20:O25" /></x:mergeCells><x:pageMargins left="0.7" right="0.7" top="0.75" bottom="0.75" header="0.3" footer="0.3" /><x:drawing r:id="R210be707e9b64325" xmlns:r="http://schemas.openxmlformats.org/officeDocument/2006/relationships" /></x:worksheet><hyperlinks><hyperlink ref="B12" r:id="rId1"/><hyperlink ref="B13" r:id="rId2"/><hyperlink ref="B14" r:id="rId3"/><hyperlink ref="B15" r:id="rId4"/><hyperlink ref="B16" r:id="rId5"/></hyperlinks>
</file>

<file path=xl/worksheets/sheet2.xml><?xml version="1.0" encoding="utf-8"?><x:worksheet xmlns:x="http://schemas.openxmlformats.org/spreadsheetml/2006/main"><x:sheetViews><x:sheetView showGridLines="0" workbookViewId="0" /></x:sheetViews><x:sheetFormatPr defaultRowHeight="15" /><x:cols><x:col min="1" max="1" width="8" hidden="0" customWidth="1" /><x:col min="2" max="2" width="10" hidden="0" customWidth="1" /><x:col min="3" max="3" width="24" hidden="0" customWidth="1" /><x:col min="4" max="4" width="24" hidden="0" customWidth="1" /><x:col min="5" max="5" width="13" hidden="0" customWidth="1" /><x:col min="6" max="6" width="36" hidden="0" customWidth="1" /><x:col min="7" max="7" width="32" hidden="0" customWidth="1" /><x:col min="8" max="8" width="14" hidden="0" customWidth="1" /><x:col min="9" max="9" width="14" hidden="0" customWidth="1" /><x:col min="10" max="10" width="22" hidden="0" customWidth="1" /><x:col min="11" max="11" width="8" hidden="0" customWidth="1" /><x:col min="12" max="12" width="22" hidden="0" customWidth="1" /><x:col min="13" max="13" width="33" hidden="0" customWidth="1" /><x:col min="14" max="14" width="34" hidden="0" customWidth="1" /><x:col min="15" max="15" width="24" hidden="0" customWidth="1" /><x:col min="16" max="16" width="48" hidden="0" customWidth="1" /><x:col min="17" max="17" width="30" hidden="0" customWidth="1" /><x:col min="18" max="18" width="48" hidden="0" customWidth="1" /><x:col min="19" max="19" width="42" hidden="0" customWidth="1" /><x:col min="20" max="20" width="15" hidden="0" customWidth="1" /></x:cols><x:sheetData><x:row r="1" ht="24" customHeight="1"><x:c r="A1" s="4" t="str"><x:v>Matriz de indicios de integridad política y contratación</x:v></x:c><x:c r="B1" s="4" /><x:c r="C1" s="4" /><x:c r="D1" s="4" /><x:c r="E1" s="4" /><x:c r="F1" s="4" /><x:c r="G1" s="4" /><x:c r="H1" s="4" /><x:c r="I1" s="4" /><x:c r="J1" s="4" /><x:c r="K1" s="4" /><x:c r="L1" s="4" /><x:c r="M1" s="4" /><x:c r="N1" s="4" /><x:c r="O1" s="4" /><x:c r="P1" s="4" /><x:c r="Q1" s="4" /><x:c r="R1" s="4" /><x:c r="S1" s="4" /><x:c r="T1" s="4" /></x:row><x:row r="2" ht="24" customHeight="1"><x:c r="A2" s="4" /><x:c r="B2" s="4" /><x:c r="C2" s="4" /><x:c r="D2" s="4" /><x:c r="E2" s="4" /><x:c r="F2" s="4" /><x:c r="G2" s="4" /><x:c r="H2" s="4" /><x:c r="I2" s="4" /><x:c r="J2" s="4" /><x:c r="K2" s="4" /><x:c r="L2" s="4" /><x:c r="M2" s="4" /><x:c r="N2" s="4" /><x:c r="O2" s="4" /><x:c r="P2" s="4" /><x:c r="Q2" s="4" /><x:c r="R2" s="4" /><x:c r="S2" s="4" /><x:c r="T2" s="4" /></x:row><x:row r="3" ht="30" hidden="0" customHeight="1"><x:c r="A3" s="8" t="str"><x:v>Cribado de señales, no sentencia. Cada conclusión separa identidad, temporalidad, órgano, competencia, interés personal y disponibilidad pública de la evidencia.</x:v></x:c><x:c r="B3" s="8" /><x:c r="C3" s="8" /><x:c r="D3" s="8" /><x:c r="E3" s="8" /><x:c r="F3" s="8" /><x:c r="G3" s="8" /><x:c r="H3" s="8" /><x:c r="I3" s="8" /><x:c r="J3" s="8" /><x:c r="K3" s="8" /><x:c r="L3" s="8" /><x:c r="M3" s="8" /><x:c r="N3" s="8" /><x:c r="O3" s="8" /><x:c r="P3" s="8" /><x:c r="Q3" s="8" /><x:c r="R3" s="8" /><x:c r="S3" s="8" /><x:c r="T3" s="8" /></x:row><x:row r="4" ht="15" hidden="0" customHeight="1"><x:c r="A4" s="93" /><x:c r="B4" s="93" /><x:c r="C4" s="93" /><x:c r="D4" s="93" /><x:c r="E4" s="93" /><x:c r="F4" s="93" /><x:c r="G4" s="93" /><x:c r="H4" s="93" /><x:c r="I4" s="93" /><x:c r="J4" s="93" /><x:c r="K4" s="93" /><x:c r="L4" s="93" /><x:c r="M4" s="93" /><x:c r="N4" s="93" /><x:c r="O4" s="93" /><x:c r="P4" s="93" /><x:c r="Q4" s="93" /><x:c r="R4" s="93" /><x:c r="S4" s="93" /><x:c r="T4" s="93" /></x:row><x:row r="5" ht="24" hidden="0" customHeight="1"><x:c r="A5" s="13" t="str"><x:v>ID</x:v></x:c><x:c r="B5" s="13" t="str"><x:v>Prioridad</x:v></x:c><x:c r="C5" s="13" t="str"><x:v>Persona</x:v></x:c><x:c r="D5" s="13" t="str"><x:v>Cargo público</x:v></x:c><x:c r="E5" s="13" t="str"><x:v>Inicio del cargo</x:v></x:c><x:c r="F5" s="13" t="str"><x:v>Operación revisada</x:v></x:c><x:c r="G5" s="13" t="str"><x:v>Órgano contratante</x:v></x:c><x:c r="H5" s="13" t="str"><x:v>Fecha de adjudicación</x:v></x:c><x:c r="I5" s="13" t="str"><x:v>Importe neto (€)</x:v></x:c><x:c r="J5" s="13" t="str"><x:v>Naturaleza económica</x:v></x:c><x:c r="K5" s="13" t="str"><x:v>Ofertas</x:v></x:c><x:c r="L5" s="13" t="str"><x:v>Procedimiento</x:v></x:c><x:c r="M5" s="13" t="str"><x:v>Solapamiento institucional</x:v></x:c><x:c r="N5" s="13" t="str"><x:v>Identidad</x:v></x:c><x:c r="O5" s="13" t="str"><x:v>Estado</x:v></x:c><x:c r="P5" s="13" t="str"><x:v>Hallazgo confirmado</x:v></x:c><x:c r="Q5" s="13" t="str"><x:v>Recusación publicada</x:v></x:c><x:c r="R5" s="13" t="str"><x:v>Actuación formal restante</x:v></x:c><x:c r="S5" s="13" t="str"><x:v>URL principal</x:v></x:c><x:c r="T5" s="13" t="str"><x:v>Enlace</x:v></x:c></x:row><x:row r="6" ht="43.20000076293945" hidden="0" customHeight="1"><x:c r="A6" s="16" t="str"><x:v>C-01</x:v></x:c><x:c r="B6" s="26" t="str"><x:v>Crítica</x:v></x:c><x:c r="C6" s="16" t="str"><x:v>Pascual de Miguel Gómez</x:v></x:c><x:c r="D6" s="16" t="str"><x:v>Alcalde de Cidones</x:v></x:c><x:c r="E6" s="17" t="n"><x:v>45094</x:v></x:c><x:c r="F6" s="16" t="str"><x:v>Arrendamiento municipal de pastos en El Egido de Ocenilla, parcela 5053, polígono 23</x:v></x:c><x:c r="G6" s="16" t="str"><x:v>Alcaldía del Ayuntamiento de Cidones</x:v></x:c><x:c r="H6" s="17" t="n"><x:v>45654</x:v></x:c><x:c r="I6" s="18" t="n"><x:v>940</x:v></x:c><x:c r="J6" s="16" t="str"><x:v>Canon/ingreso municipal; derecho de uso privado</x:v></x:c><x:c r="K6" s="19" t="n"><x:v>1</x:v></x:c><x:c r="L6" s="16" t="str"><x:v>Negociado sin publicidad</x:v></x:c><x:c r="M6" s="16" t="str"><x:v>Directo: mismo ayuntamiento que preside</x:v></x:c><x:c r="N6" s="16" t="str"><x:v>Muy alta: nombre exacto y cargo; falta cruce fiscal independiente</x:v></x:c><x:c r="O6" s="24" t="str"><x:v>Conflicto directo</x:v></x:c><x:c r="P6" s="16" t="str"><x:v>El ayuntamiento concedió al alcalde un aprovechamiento de bien municipal con una sola oferta. Adjudicación y formalización constan el 28/12/2024; la publicación fue posterior, el 08/01/2025. No constan publicados pliego, valoración, invitaciones ni resolución firmada.</x:v></x:c><x:c r="Q6" s="16" t="str"><x:v>No publicada tras revisar PLACSP y el portal municipal</x:v></x:c><x:c r="R6" s="16" t="str"><x:v>Solicitud formal al Ayuntamiento de Cidones del expediente 1/2025: inicio, valoración, invitaciones, resolución firmada, declaración de intereses, abstención y pagos del canon.</x:v></x:c><x:c r="S6" s="21" t="str"><x:v>https://contrataciondelestado.es/wps/poc?uri=deeplink:detalle_licitacion&amp;idEvl=Bw%2BtY1gBGzXVGIpKDxgsAQ%3D%3D</x:v></x:c><x:c r="T6" s="21" t="str"><x:v>Abrir evidencia</x:v></x:c></x:row><x:row r="7" ht="43.20000076293945" hidden="0" customHeight="1"><x:c r="A7" s="16" t="str"><x:v>C-02</x:v></x:c><x:c r="B7" s="26" t="str"><x:v>Crítica</x:v></x:c><x:c r="C7" s="16" t="str"><x:v>María Cristina Lao Tortosa</x:v></x:c><x:c r="D7" s="16" t="str"><x:v>Concejala de Íllar</x:v></x:c><x:c r="E7" s="17" t="n"><x:v>45094</x:v></x:c><x:c r="F7" s="16" t="str"><x:v>Concesión del bar de la piscina municipal</x:v></x:c><x:c r="G7" s="16" t="str"><x:v>Alcaldía del Ayuntamiento de Íllar</x:v></x:c><x:c r="H7" s="17" t="n"><x:v>45693</x:v></x:c><x:c r="I7" s="18" t="n"><x:v>12000</x:v></x:c><x:c r="J7" s="16" t="str"><x:v>Canon concesional</x:v></x:c><x:c r="K7" s="19" t="n"><x:v>3</x:v></x:c><x:c r="L7" s="16" t="str"><x:v>Abierto ordinario electrónico</x:v></x:c><x:c r="M7" s="16" t="str"><x:v>Directo: mismo ayuntamiento donde es concejala</x:v></x:c><x:c r="N7" s="16" t="str"><x:v>Alta: nombre exacto e identificador enmascarado compatible</x:v></x:c><x:c r="O7" s="24" t="str"><x:v>Conflicto directo</x:v></x:c><x:c r="P7" s="16" t="str"><x:v>Concesión competitiva con tres ofertas. La matriz pública da 92,29 puntos a Lao, frente a 87,25 y 56,38. El acta firmada identifica a los cuatro miembros de la mesa. La competencia reduce riesgo de amaño, pero no elimina el deber de abstención.</x:v></x:c><x:c r="Q7" s="16" t="str"><x:v>No publicada tras revisar PLACSP y el tablón municipal</x:v></x:c><x:c r="R7" s="16" t="str"><x:v>Solicitud formal al Ayuntamiento de Íllar del documento de abstención/recusación, contrato concesional, liquidaciones y pagos del canon.</x:v></x:c><x:c r="S7" s="21" t="str"><x:v>https://www.illar.es/Servicios/Tablon/anexos.nsf/B82EBCBBB1530428C1258C28004C2B4B/%24file/DOC_CAN_ADJ2025-000122856.pdf</x:v></x:c><x:c r="T7" s="21" t="str"><x:v>Abrir evidencia</x:v></x:c></x:row><x:row r="8" ht="54" hidden="0" customHeight="1"><x:c r="A8" s="16" t="str"><x:v>C-03</x:v></x:c><x:c r="B8" s="31" t="str"><x:v>Alta</x:v></x:c><x:c r="C8" s="16" t="str"><x:v>Samuel Monleón Montesinos</x:v></x:c><x:c r="D8" s="16" t="str"><x:v>Alcalde de Cabra de Mora</x:v></x:c><x:c r="E8" s="17" t="n"><x:v>45094</x:v></x:c><x:c r="F8" s="16" t="str"><x:v>Tres lotes de obras en Mora de Rubielos y Albentosa</x:v></x:c><x:c r="G8" s="16" t="str"><x:v>Ayuntamientos de Mora de Rubielos y Albentosa</x:v></x:c><x:c r="H8" s="17" t="n"><x:v>45580</x:v></x:c><x:c r="I8" s="18" t="n"><x:v>135900.37</x:v></x:c><x:c r="J8" s="16" t="str"><x:v>Gasto público en obras</x:v></x:c><x:c r="K8" s="19" t="n"><x:v>1</x:v></x:c><x:c r="L8" s="16" t="str"><x:v>Abierto simplificado</x:v></x:c><x:c r="M8" s="16" t="str"><x:v>Indirecto: otros municipios del entorno; no es auto-adjudicación</x:v></x:c><x:c r="N8" s="16" t="str"><x:v>Confirmada: mismo identificador fiscal en firma oficial como alcalde y como adjudicatario</x:v></x:c><x:c r="O8" s="29" t="str"><x:v>Revisión prioritaria</x:v></x:c><x:c r="P8" s="16" t="str"><x:v>Alcalde-contratista confirmado. Dos expedientes, tres lotes y una sola oferta en cada adjudicación. La comarca lo publica como consejero del PAR, vicepresidente de Medio Ambiente y presidente del servicio de residuos, maquinaria, protección civil y bomberos; no se ha probado participación en los órganos municipales adjudicadores.</x:v></x:c><x:c r="Q8" s="16" t="str"><x:v>No exigible automáticamente en otros ayuntamientos; no consta intervención contractual comarcal</x:v></x:c><x:c r="R8" s="16" t="str"><x:v>Solicitud formal a Cabra de Mora de declaración de actividades/compatibilidad y a Mora de Rubielos y Albentosa de certificaciones, facturas y pagos.</x:v></x:c><x:c r="S8" s="21" t="str"><x:v>https://contrataciondelestado.es/wps/poc?uri=deeplink:detalle_licitacion&amp;idEvl=ltyldZlniPDmnwcj%2BxbdTg%3D%3D</x:v></x:c><x:c r="T8" s="21" t="str"><x:v>Abrir evidencia</x:v></x:c></x:row><x:row r="9" ht="43.20000076293945" hidden="0" customHeight="1"><x:c r="A9" s="16" t="str"><x:v>C-04</x:v></x:c><x:c r="B9" s="31" t="str"><x:v>Alta</x:v></x:c><x:c r="C9" s="16" t="str"><x:v>María Dolores Aparicio Vilalta</x:v></x:c><x:c r="D9" s="16" t="str"><x:v>Concejala de Fuentespalda</x:v></x:c><x:c r="E9" s="17" t="n"><x:v>45094</x:v></x:c><x:c r="F9" s="16" t="str"><x:v>Venta de finca rústica a la Comarca del Matarraña-Matarranya</x:v></x:c><x:c r="G9" s="16" t="str"><x:v>Presidencia de la Comarca del Matarraña-Matarranya</x:v></x:c><x:c r="H9" s="17" t="n"><x:v>45784</x:v></x:c><x:c r="I9" s="18" t="n"><x:v>17500</x:v></x:c><x:c r="J9" s="16" t="str"><x:v>Gasto público: adquisición de inmueble</x:v></x:c><x:c r="K9" s="19" t="n"><x:v>1</x:v></x:c><x:c r="L9" s="16" t="str"><x:v>Negociado sin publicidad</x:v></x:c><x:c r="M9" s="16" t="str"><x:v>Indirecto: la comarca incluye su municipio; figura como suplente comarcal en 2023</x:v></x:c><x:c r="N9" s="16" t="str"><x:v>Alta: nombre exacto y dígitos de identificador enmascarado coincidentes</x:v></x:c><x:c r="O9" s="29" t="str"><x:v>Revisión prioritaria</x:v></x:c><x:c r="P9" s="16" t="str"><x:v>Cargo municipal vende un activo a la entidad supramunicipal de su territorio. El BOA de 2023 la sitúa como suplente y la composición comarcal publicada no la incluye como titular. El expediente identifica finca, registro y una valoración técnica de 20/02/2025, pero no publica el informe de tasación íntegro.</x:v></x:c><x:c r="Q9" s="16" t="str"><x:v>No publicada; tampoco consta que integrase el consejo comarcal titular en la fecha revisada</x:v></x:c><x:c r="R9" s="16" t="str"><x:v>Solicitud formal a la Comarca del Matarraña del informe de tasación, resolución de adjudicación firmada, declaraciones de abstención y justificante de pago del expediente 65/2025.</x:v></x:c><x:c r="S9" s="21" t="str"><x:v>https://contrataciondelestado.es/wps/poc?uri=deeplink:detalle_licitacion&amp;idEvl=U6PkcmCKl%2FokJPJS%2BPS9vg%3D%3D</x:v></x:c><x:c r="T9" s="21" t="str"><x:v>Abrir evidencia</x:v></x:c></x:row><x:row r="10" ht="32.400001525878906" hidden="0" customHeight="1"><x:c r="A10" s="16" t="str"><x:v>C-05</x:v></x:c><x:c r="B10" s="31" t="str"><x:v>Alta</x:v></x:c><x:c r="C10" s="16" t="str"><x:v>Sergio Salvador Viveros</x:v></x:c><x:c r="D10" s="16" t="str"><x:v>Concejal de Viver</x:v></x:c><x:c r="E10" s="17" t="n"><x:v>45094</x:v></x:c><x:c r="F10" s="16" t="str"><x:v>Urbanización y consolidación de la calle Boira</x:v></x:c><x:c r="G10" s="16" t="str"><x:v>Pleno del Ayuntamiento de Puebla de Arenoso</x:v></x:c><x:c r="H10" s="17" t="n"><x:v>45757</x:v></x:c><x:c r="I10" s="18" t="n"><x:v>159923.98</x:v></x:c><x:c r="J10" s="16" t="str"><x:v>Gasto público en obras</x:v></x:c><x:c r="K10" s="19" t="n"><x:v>1</x:v></x:c><x:c r="L10" s="16" t="str"><x:v>Negociado sin publicidad</x:v></x:c><x:c r="M10" s="16" t="str"><x:v>Indirecto: municipio vecino; no se ha probado vínculo orgánico</x:v></x:c><x:c r="N10" s="16" t="str"><x:v>Sin cerrar: nombre exacto, pero no existe enlace fiscal/profesional independiente</x:v></x:c><x:c r="O10" s="34" t="str"><x:v>Identidad no confirmable</x:v></x:c><x:c r="P10" s="16" t="str"><x:v>Importe elevado y una sola oferta. La revisión de registros públicos no permite atribuir responsablemente el contrato al concejal: el nombre exacto no aporta vínculo fiscal o profesional independiente.</x:v></x:c><x:c r="Q10" s="16" t="str"><x:v>No evaluable hasta confirmar identidad y vínculos</x:v></x:c><x:c r="R10" s="16" t="str"><x:v>Solicitud formal al Ayuntamiento de Viver de la declaración de actividades y al Ayuntamiento de Puebla de Arenoso de las tres invitaciones previstas, ofertas recibidas y acta de negociación del expediente 143/2025.</x:v></x:c><x:c r="S10" s="21" t="str"><x:v>https://contrataciondelestado.es/wps/poc?uri=deeplink:detalle_licitacion&amp;idEvl=jn9C4PfATATIGlsa0Wad%2Bw%3D%3D</x:v></x:c><x:c r="T10" s="21" t="str"><x:v>Abrir evidencia</x:v></x:c></x:row><x:row r="11" ht="32.400001525878906" hidden="0" customHeight="1"><x:c r="A11" s="16" t="str"><x:v>C-06</x:v></x:c><x:c r="B11" s="39" t="str"><x:v>Media</x:v></x:c><x:c r="C11" s="16" t="str"><x:v>Diego Puerta Lázaro</x:v></x:c><x:c r="D11" s="16" t="str"><x:v>Teniente de alcalde de Beteta</x:v></x:c><x:c r="E11" s="17" t="n"><x:v>45103</x:v></x:c><x:c r="F11" s="16" t="str"><x:v>Servicio de arquitectura del plan turístico de Molina de Aragón</x:v></x:c><x:c r="G11" s="16" t="str"><x:v>Asociación de Desarrollo Rural Molina de Aragón-Alto Tajo</x:v></x:c><x:c r="H11" s="17" t="n"><x:v>45742</x:v></x:c><x:c r="I11" s="18" t="n"><x:v>43245.84</x:v></x:c><x:c r="J11" s="16" t="str"><x:v>Gasto público en servicios</x:v></x:c><x:c r="K11" s="19" t="n"><x:v>1</x:v></x:c><x:c r="L11" s="16" t="str"><x:v>Abierto simplificado</x:v></x:c><x:c r="M11" s="16" t="str"><x:v>No se encontró pertenencia de Beteta al órgano contratante</x:v></x:c><x:c r="N11" s="16" t="str"><x:v>Confirmada por identificador fiscal y actividad profesional independiente</x:v></x:c><x:c r="O11" s="37" t="str"><x:v>Control de compatibilidad</x:v></x:c><x:c r="P11" s="16" t="str"><x:v>Cargo público y proveedor confirmados, pero el contrato es externo a su ayuntamiento y se tramitó por procedimiento abierto simplificado. Una sola oferta conserva una señal de competencia débil.</x:v></x:c><x:c r="Q11" s="16" t="str"><x:v>No se identifica órgano común donde debiera intervenir</x:v></x:c><x:c r="R11" s="16" t="str"><x:v>Revisar declaración de actividades/compatibilidad y prueba de difusión efectiva de la licitación.</x:v></x:c><x:c r="S11" s="21" t="str"><x:v>https://contrataciondelestado.es/wps/poc?uri=deeplink:detalle_licitacion&amp;idEvl=F0BBwk0ZHKsadbH3CysQuQ%3D%3D</x:v></x:c><x:c r="T11" s="21" t="str"><x:v>Abrir evidencia</x:v></x:c></x:row><x:row r="12" ht="43.20000076293945" hidden="0" customHeight="1"><x:c r="A12" s="16" t="str"><x:v>C-07</x:v></x:c><x:c r="B12" s="39" t="str"><x:v>Media</x:v></x:c><x:c r="C12" s="16" t="str"><x:v>Jairo Bello Vidal</x:v></x:c><x:c r="D12" s="16" t="str"><x:v>Concejal de Abegondo</x:v></x:c><x:c r="E12" s="17" t="n"><x:v>45094</x:v></x:c><x:c r="F12" s="16" t="str"><x:v>Programa de conciliación y ocio educativo de Carral</x:v></x:c><x:c r="G12" s="16" t="str"><x:v>Alcaldía del Ayuntamiento de Carral</x:v></x:c><x:c r="H12" s="17" t="n"><x:v>45826</x:v></x:c><x:c r="I12" s="18" t="n"><x:v>57452.86</x:v></x:c><x:c r="J12" s="16" t="str"><x:v>Gasto público en servicios</x:v></x:c><x:c r="K12" s="19" t="n"><x:v>2</x:v></x:c><x:c r="L12" s="16" t="str"><x:v>Abierto</x:v></x:c><x:c r="M12" s="16" t="str"><x:v>No directo: otro municipio</x:v></x:c><x:c r="N12" s="16" t="str"><x:v>Alta: nombre, localidad, ocupación y registros deportivos coincidentes</x:v></x:c><x:c r="O12" s="37" t="str"><x:v>Control de compatibilidad</x:v></x:c><x:c r="P12" s="16" t="str"><x:v>Procedimiento abierto con dos ofertas. No se ha hallado intervención política en Carral. La cuestión principal es compatibilidad si mantiene empleo público municipal, extremo descrito por prensa pero no confirmado por expediente laboral.</x:v></x:c><x:c r="Q12" s="16" t="str"><x:v>No se identifica deber directo en Carral</x:v></x:c><x:c r="R12" s="16" t="str"><x:v>Solicitud formal al Ayuntamiento de Abegondo de situación laboral y autorización de compatibilidad vigentes el 18/06/2025.</x:v></x:c><x:c r="S12" s="21" t="str"><x:v>https://contrataciondelestado.es/wps/poc?uri=deeplink:detalle_licitacion&amp;idEvl=Qz6Qt7gv5ttq1DdmE7eaXg%3D%3D</x:v></x:c><x:c r="T12" s="21" t="str"><x:v>Abrir evidencia</x:v></x:c></x:row><x:row r="13" ht="21.600000381469727" hidden="0" customHeight="1"><x:c r="A13" s="16" t="str"><x:v>C-08</x:v></x:c><x:c r="B13" s="39" t="str"><x:v>Baja</x:v></x:c><x:c r="C13" s="16" t="str"><x:v>Joaquín Miguel Becerra Tijeras</x:v></x:c><x:c r="D13" s="16" t="str"><x:v>Concejal de San Fernando</x:v></x:c><x:c r="E13" s="17" t="n"><x:v>45094</x:v></x:c><x:c r="F13" s="16" t="str"><x:v>Dirección facultativa y seguridad de balizamiento de playas, lote 2</x:v></x:c><x:c r="G13" s="16" t="str"><x:v>Mancomunidad de Municipios de la Bahía de Cádiz</x:v></x:c><x:c r="H13" s="17" t="n"><x:v>45652</x:v></x:c><x:c r="I13" s="18" t="n"><x:v>1471.76</x:v></x:c><x:c r="J13" s="16" t="str"><x:v>Gasto público en servicios</x:v></x:c><x:c r="K13" s="19" t="n"><x:v>1</x:v></x:c><x:c r="L13" s="16" t="str"><x:v>Abierto simplificado</x:v></x:c><x:c r="M13" s="16" t="str"><x:v>La mancomunidad incluye San Fernando; no figura como representante municipal designado</x:v></x:c><x:c r="N13" s="16" t="str"><x:v>Alta: nombre exacto y mismo identificador en contratación oficial anterior</x:v></x:c><x:c r="O13" s="37" t="str"><x:v>Control de compatibilidad</x:v></x:c><x:c r="P13" s="16" t="str"><x:v>Importe bajo y procedimiento abierto simplificado. Existe vínculo territorial, pero no representación suya en la mancomunidad según la relación consultada.</x:v></x:c><x:c r="Q13" s="16" t="str"><x:v>No se identificó órgano donde participara</x:v></x:c><x:c r="R13" s="16" t="str"><x:v>Verificar declaración de actividades y que no interviniera informalmente en preparación o adjudicación.</x:v></x:c><x:c r="S13" s="21" t="str"><x:v>https://contrataciondelestado.es/wps/poc?uri=deeplink:detalle_licitacion&amp;idEvl=ePnPMQh1Ak68ebB%2FXTwy0A%3D%3D</x:v></x:c><x:c r="T13" s="21" t="str"><x:v>Abrir evidencia</x:v></x:c></x:row><x:row r="14" ht="32.400001525878906" hidden="0" customHeight="1"><x:c r="A14" s="16" t="str"><x:v>C-09</x:v></x:c><x:c r="B14" s="39" t="str"><x:v>Baja</x:v></x:c><x:c r="C14" s="16" t="str"><x:v>Adrián Rodríguez González</x:v></x:c><x:c r="D14" s="16" t="str"><x:v>Quinto teniente de alcalde de Tegueste</x:v></x:c><x:c r="E14" s="17" t="n"><x:v>45100</x:v></x:c><x:c r="F14" s="16" t="str"><x:v>Patrocinio del evento Soplo de Letras 2025</x:v></x:c><x:c r="G14" s="16" t="str"><x:v>Promotur Turismo Canarias S.A.</x:v></x:c><x:c r="H14" s="17" t="n"><x:v>45789</x:v></x:c><x:c r="I14" s="18" t="n"><x:v>51168.22</x:v></x:c><x:c r="J14" s="16" t="str"><x:v>Patrocinio público</x:v></x:c><x:c r="K14" s="19" t="n"><x:v>1</x:v></x:c><x:c r="L14" s="16" t="str"><x:v>Negociado sin publicidad por exclusividad</x:v></x:c><x:c r="M14" s="16" t="str"><x:v>No directo: entidad pública regional distinta de Tegueste</x:v></x:c><x:c r="N14" s="16" t="str"><x:v>Confirmada: identificador fiscal del negocio coincide con el adjudicatario</x:v></x:c><x:c r="O14" s="42" t="str"><x:v>Aclarado con contexto</x:v></x:c><x:c r="P14" s="16" t="str"><x:v>La fase final tuvo un proveedor por exclusividad, pero el proyecto provenía de una convocatoria competitiva: puesto 7, 73 puntos. No aparece señal sólida de favoritismo en la evidencia disponible.</x:v></x:c><x:c r="Q14" s="16" t="str"><x:v>No se encontró participación suya en Promotur</x:v></x:c><x:c r="R14" s="16" t="str"><x:v>Mantener control de compatibilidad y revisar memoria de ejecución/impacto, sin priorizar como corrupción.</x:v></x:c><x:c r="S14" s="21" t="str"><x:v>https://turismodeislascanarias.com/sites/default/files/convocatoria/aj33_24cp_res_definitiva_seleccion_valoracion_definitiva_mayo-junio_2025.pdf</x:v></x:c><x:c r="T14" s="21" t="str"><x:v>Abrir evidencia</x:v></x:c></x:row><x:row r="15" ht="32.400001525878906" hidden="0" customHeight="1"><x:c r="A15" s="16" t="str"><x:v>C-10</x:v></x:c><x:c r="B15" s="47" t="str"><x:v>Cerrada</x:v></x:c><x:c r="C15" s="16" t="str"><x:v>Kini Carrasco Ávila</x:v></x:c><x:c r="D15" s="16" t="str"><x:v>Diputado autonómico desde enero de 2026</x:v></x:c><x:c r="E15" s="17" t="n"><x:v>46023</x:v></x:c><x:c r="F15" s="16" t="str"><x:v>Patrocinio deportivo 2025</x:v></x:c><x:c r="G15" s="16" t="str"><x:v>Fundación Jóvenes y Deporte</x:v></x:c><x:c r="H15" s="17" t="n"><x:v>45747</x:v></x:c><x:c r="I15" s="18" t="n"><x:v>4132.23</x:v></x:c><x:c r="J15" s="16" t="str"><x:v>Patrocinio público</x:v></x:c><x:c r="K15" s="19" t="n"><x:v>1</x:v></x:c><x:c r="L15" s="16" t="str"><x:v>Negociado sin publicidad</x:v></x:c><x:c r="M15" s="16" t="str"><x:v>Ninguno en la fecha: todavía no era político</x:v></x:c><x:c r="N15" s="16" t="str"><x:v>Confirmada, pero la relación temporal invalida la alerta política</x:v></x:c><x:c r="O15" s="45" t="str"><x:v>Descartado por temporalidad</x:v></x:c><x:c r="P15" s="16" t="str"><x:v>El patrocinio ocurrió unos diez meses antes de su entrada en política. También existen patrocinios deportivos anteriores. Es un falso positivo del cruce con cargos actuales.</x:v></x:c><x:c r="Q15" s="16" t="str"><x:v>No aplicaba: no ejercía cargo público</x:v></x:c><x:c r="R15" s="16" t="str"><x:v>Cerrar caso. Vigilar solo adjudicaciones posteriores a enero de 2026.</x:v></x:c><x:c r="S15" s="21" t="str"><x:v>https://doe.juntaex.es/pdfs/doe/2026/80o/26AC0001.pdf</x:v></x:c><x:c r="T15" s="21" t="str"><x:v>Abrir evidencia</x:v></x:c></x:row><x:row r="16" ht="21.600000381469727" hidden="0" customHeight="1"><x:c r="A16" s="16" t="str"><x:v>C-11</x:v></x:c><x:c r="B16" s="47" t="str"><x:v>Cerrada</x:v></x:c><x:c r="C16" s="16" t="str"><x:v>Antonio Jesús Sánchez Castuera</x:v></x:c><x:c r="D16" s="16" t="str"><x:v>Concejal de Miajadas desde junio de 2023</x:v></x:c><x:c r="E16" s="17" t="n"><x:v>45094</x:v></x:c><x:c r="F16" s="16" t="str"><x:v>Arrendamiento de masas comunes, riego, secano y huertos 2023-2028</x:v></x:c><x:c r="G16" s="16" t="str"><x:v>Alcaldía del Ayuntamiento de Miajadas</x:v></x:c><x:c r="H16" s="17" t="n"><x:v>44994</x:v></x:c><x:c r="I16" s="18" t="n"><x:v>322.84</x:v></x:c><x:c r="J16" s="16" t="str"><x:v>Canon de arrendamiento</x:v></x:c><x:c r="K16" s="19" t="n"><x:v>42</x:v></x:c><x:c r="L16" s="16" t="str"><x:v>Abierto</x:v></x:c><x:c r="M16" s="16" t="str"><x:v>Mismo ayuntamiento, pero adjudicación anterior al cargo</x:v></x:c><x:c r="N16" s="16" t="str"><x:v>Confirmada en datos de adjudicación; alerta temporal descartada</x:v></x:c><x:c r="O16" s="45" t="str"><x:v>Descartado por temporalidad</x:v></x:c><x:c r="P16" s="16" t="str"><x:v>Adjudicación tres meses antes de asumir el cargo y con 42 ofertas. No hay señal de corrupción en la adjudicación inicial.</x:v></x:c><x:c r="Q16" s="16" t="str"><x:v>No aplicaba al adjudicarse; sí en futuras prórrogas o modificaciones</x:v></x:c><x:c r="R16" s="16" t="str"><x:v>Cerrar adjudicación inicial. Controlar prórrogas, modificaciones o renovaciones durante el mandato.</x:v></x:c><x:c r="S16" s="21" t="str"><x:v>https://contrataciondelestado.es/wps/poc?uri=deeplink:detalle_licitacion&amp;idEvl=BDZ88lsFjCx7h85%2Fpmmsfw%3D%3D</x:v></x:c><x:c r="T16" s="21" t="str"><x:v>Abrir evidencia</x:v></x:c></x:row></x:sheetData><x:mergeCells><x:mergeCell ref="A1:T2" /><x:mergeCell ref="A3:T3" /></x:mergeCells><x:pageMargins left="0.7" right="0.7" top="0.75" bottom="0.75" header="0.3" footer="0.3" /><x:tableParts count="1"><x:tablePart r:id="R4c4a034368944c41" xmlns:r="http://schemas.openxmlformats.org/officeDocument/2006/relationships" /></x:tableParts></x:worksheet><hyperlinks><hyperlink ref="T6" r:id="rId1"/><hyperlink ref="T7" r:id="rId2"/><hyperlink ref="T8" r:id="rId3"/><hyperlink ref="T9" r:id="rId4"/><hyperlink ref="T10" r:id="rId5"/><hyperlink ref="T11" r:id="rId6"/><hyperlink ref="T12" r:id="rId7"/><hyperlink ref="T13" r:id="rId8"/><hyperlink ref="T14" r:id="rId9"/><hyperlink ref="T15" r:id="rId10"/><hyperlink ref="T16" r:id="rId11"/></hyperlinks>
</file>

<file path=xl/worksheets/sheet3.xml><?xml version="1.0" encoding="utf-8"?><x:worksheet xmlns:x="http://schemas.openxmlformats.org/spreadsheetml/2006/main"><x:sheetViews><x:sheetView showGridLines="0" workbookViewId="0" /></x:sheetViews><x:sheetFormatPr defaultRowHeight="15" /><x:cols><x:col min="1" max="1" width="8" hidden="0" customWidth="1" /><x:col min="2" max="2" width="24" hidden="0" customWidth="1" /><x:col min="3" max="3" width="7" hidden="0" customWidth="1" /><x:col min="4" max="4" width="28" hidden="0" customWidth="1" /><x:col min="5" max="5" width="42" hidden="0" customWidth="1" /><x:col min="6" max="6" width="34" hidden="0" customWidth="1" /><x:col min="7" max="7" width="13" hidden="0" customWidth="1" /><x:col min="8" max="8" width="15" hidden="0" customWidth="1" /><x:col min="9" max="9" width="16" hidden="0" customWidth="1" /><x:col min="10" max="10" width="18" hidden="0" customWidth="1" /><x:col min="11" max="11" width="8" hidden="0" customWidth="1" /><x:col min="12" max="12" width="22" hidden="0" customWidth="1" /><x:col min="13" max="13" width="18" hidden="0" customWidth="1" /><x:col min="14" max="14" width="44" hidden="0" customWidth="1" /><x:col min="15" max="15" width="15" hidden="0" customWidth="1" /></x:cols><x:sheetData><x:row r="1" ht="24" customHeight="1"><x:c r="A1" s="4" t="str"><x:v>Detalle de contratos y lotes</x:v></x:c><x:c r="B1" s="4" /><x:c r="C1" s="4" /><x:c r="D1" s="4" /><x:c r="E1" s="4" /><x:c r="F1" s="4" /><x:c r="G1" s="4" /><x:c r="H1" s="4" /><x:c r="I1" s="4" /><x:c r="J1" s="4" /><x:c r="K1" s="4" /><x:c r="L1" s="4" /><x:c r="M1" s="4" /><x:c r="N1" s="4" /><x:c r="O1" s="4" /></x:row><x:row r="2" ht="24" customHeight="1"><x:c r="A2" s="4" /><x:c r="B2" s="4" /><x:c r="C2" s="4" /><x:c r="D2" s="4" /><x:c r="E2" s="4" /><x:c r="F2" s="4" /><x:c r="G2" s="4" /><x:c r="H2" s="4" /><x:c r="I2" s="4" /><x:c r="J2" s="4" /><x:c r="K2" s="4" /><x:c r="L2" s="4" /><x:c r="M2" s="4" /><x:c r="N2" s="4" /><x:c r="O2" s="4" /></x:row><x:row r="3" ht="30" hidden="0" customHeight="1"><x:c r="A3" s="8" t="str"><x:v>Importes netos y pagaderos proceden de anuncios y documentos públicos enlazados. Canon, concesión, adquisición, obra y patrocinio se mantienen separados; no deben sumarse como si fueran el mismo tipo de gasto.</x:v></x:c><x:c r="B3" s="8" /><x:c r="C3" s="8" /><x:c r="D3" s="8" /><x:c r="E3" s="8" /><x:c r="F3" s="8" /><x:c r="G3" s="8" /><x:c r="H3" s="8" /><x:c r="I3" s="8" /><x:c r="J3" s="8" /><x:c r="K3" s="8" /><x:c r="L3" s="8" /><x:c r="M3" s="8" /><x:c r="N3" s="8" /><x:c r="O3" s="8" /></x:row><x:row r="4" ht="15" hidden="0" customHeight="1"><x:c r="A4" s="93" /><x:c r="B4" s="93" /><x:c r="C4" s="93" /><x:c r="D4" s="93" /><x:c r="E4" s="93" /><x:c r="F4" s="93" /><x:c r="G4" s="93" /><x:c r="H4" s="93" /><x:c r="I4" s="93" /><x:c r="J4" s="93" /><x:c r="K4" s="93" /><x:c r="L4" s="93" /><x:c r="M4" s="93" /><x:c r="N4" s="93" /><x:c r="O4" s="93" /></x:row><x:row r="5" ht="24" hidden="0" customHeight="1"><x:c r="A5" s="13" t="str"><x:v>Caso</x:v></x:c><x:c r="B5" s="13" t="str"><x:v>Expediente</x:v></x:c><x:c r="C5" s="13" t="str"><x:v>Lote</x:v></x:c><x:c r="D5" s="13" t="str"><x:v>Adjudicatario</x:v></x:c><x:c r="E5" s="13" t="str"><x:v>Objeto</x:v></x:c><x:c r="F5" s="13" t="str"><x:v>Órgano contratante</x:v></x:c><x:c r="G5" s="13" t="str"><x:v>Fecha</x:v></x:c><x:c r="H5" s="13" t="str"><x:v>Importe neto (€)</x:v></x:c><x:c r="I5" s="13" t="str"><x:v>Importe pagadero (€)</x:v></x:c><x:c r="J5" s="13" t="str"><x:v>Naturaleza</x:v></x:c><x:c r="K5" s="13" t="str"><x:v>Ofertas</x:v></x:c><x:c r="L5" s="13" t="str"><x:v>Procedimiento</x:v></x:c><x:c r="M5" s="13" t="str"><x:v>¿Cargo público en fecha?</x:v></x:c><x:c r="N5" s="13" t="str"><x:v>URL oficial</x:v></x:c><x:c r="O5" s="13" t="str"><x:v>Enlace</x:v></x:c></x:row><x:row r="6" ht="15" hidden="0" customHeight="1"><x:c r="A6" s="16" t="str"><x:v>C-01</x:v></x:c><x:c r="B6" s="16" t="str"><x:v>1/2025</x:v></x:c><x:c r="C6" s="16" t="str"><x:v>—</x:v></x:c><x:c r="D6" s="16" t="str"><x:v>Pascual de Miguel Gómez</x:v></x:c><x:c r="E6" s="16" t="str"><x:v>Arrendamiento de pastos en El Egido de Ocenilla</x:v></x:c><x:c r="F6" s="16" t="str"><x:v>Ayuntamiento de Cidones</x:v></x:c><x:c r="G6" s="17" t="n"><x:v>45654</x:v></x:c><x:c r="H6" s="18" t="n"><x:v>940</x:v></x:c><x:c r="I6" s="18" t="n"><x:v>940</x:v></x:c><x:c r="J6" s="16" t="str"><x:v>Canon municipal</x:v></x:c><x:c r="K6" s="19" t="n"><x:v>1</x:v></x:c><x:c r="L6" s="16" t="str"><x:v>Negociado sin publicidad</x:v></x:c><x:c r="M6" s="16" t="str"><x:v>Sí</x:v></x:c><x:c r="N6" s="21" t="str"><x:v>https://contrataciondelestado.es/wps/poc?uri=deeplink:detalle_licitacion&amp;idEvl=Bw%2BtY1gBGzXVGIpKDxgsAQ%3D%3D</x:v></x:c><x:c r="O6" s="21" t="str"><x:v>Abrir contrato</x:v></x:c></x:row><x:row r="7" ht="15" hidden="0" customHeight="1"><x:c r="A7" s="16" t="str"><x:v>C-02</x:v></x:c><x:c r="B7" s="16" t="str"><x:v>2025/405440/001-700/00001</x:v></x:c><x:c r="C7" s="16" t="str"><x:v>—</x:v></x:c><x:c r="D7" s="16" t="str"><x:v>María Cristina Lao Tortosa</x:v></x:c><x:c r="E7" s="16" t="str"><x:v>Concesión del bar de la piscina municipal</x:v></x:c><x:c r="F7" s="16" t="str"><x:v>Ayuntamiento de Íllar</x:v></x:c><x:c r="G7" s="17" t="n"><x:v>45693</x:v></x:c><x:c r="H7" s="18" t="n"><x:v>12000</x:v></x:c><x:c r="I7" s="18" t="n"><x:v>12000</x:v></x:c><x:c r="J7" s="16" t="str"><x:v>Canon concesional</x:v></x:c><x:c r="K7" s="19" t="n"><x:v>3</x:v></x:c><x:c r="L7" s="16" t="str"><x:v>Abierto</x:v></x:c><x:c r="M7" s="16" t="str"><x:v>Sí</x:v></x:c><x:c r="N7" s="21" t="str"><x:v>https://contrataciondelestado.es/wps/poc?uri=deeplink:detalle_licitacion&amp;idEvl=EnDwVIdbBpP10HRJw8TEnQ%3D%3D</x:v></x:c><x:c r="O7" s="21" t="str"><x:v>Abrir contrato</x:v></x:c></x:row><x:row r="8" ht="15" hidden="0" customHeight="1"><x:c r="A8" s="16" t="str"><x:v>C-03</x:v></x:c><x:c r="B8" s="16" t="str"><x:v>357/2024</x:v></x:c><x:c r="C8" s="16" t="str"><x:v>1</x:v></x:c><x:c r="D8" s="16" t="str"><x:v>Samuel Monleón Montesinos</x:v></x:c><x:c r="E8" s="16" t="str"><x:v>Pavimentación Plaza Juan Alberto Belloch</x:v></x:c><x:c r="F8" s="16" t="str"><x:v>Ayuntamiento de Mora de Rubielos</x:v></x:c><x:c r="G8" s="17" t="n"><x:v>45580</x:v></x:c><x:c r="H8" s="18" t="n"><x:v>67340.08</x:v></x:c><x:c r="I8" s="18" t="n"><x:v>81481.5</x:v></x:c><x:c r="J8" s="16" t="str"><x:v>Gasto público</x:v></x:c><x:c r="K8" s="19" t="n"><x:v>1</x:v></x:c><x:c r="L8" s="16" t="str"><x:v>Abierto simplificado</x:v></x:c><x:c r="M8" s="16" t="str"><x:v>Sí</x:v></x:c><x:c r="N8" s="21" t="str"><x:v>https://contrataciondelestado.es/wps/poc?uri=deeplink:detalle_licitacion&amp;idEvl=ltyldZlniPDmnwcj%2BxbdTg%3D%3D</x:v></x:c><x:c r="O8" s="21" t="str"><x:v>Abrir contrato</x:v></x:c></x:row><x:row r="9" ht="15" hidden="0" customHeight="1"><x:c r="A9" s="16" t="str"><x:v>C-03</x:v></x:c><x:c r="B9" s="16" t="str"><x:v>357/2024</x:v></x:c><x:c r="C9" s="16" t="str"><x:v>2</x:v></x:c><x:c r="D9" s="16" t="str"><x:v>Samuel Monleón Montesinos</x:v></x:c><x:c r="E9" s="16" t="str"><x:v>Mejora de vías urbanas, avenida San Miguel</x:v></x:c><x:c r="F9" s="16" t="str"><x:v>Ayuntamiento de Mora de Rubielos</x:v></x:c><x:c r="G9" s="17" t="n"><x:v>45580</x:v></x:c><x:c r="H9" s="18" t="n"><x:v>22893.49</x:v></x:c><x:c r="I9" s="18" t="n"><x:v>27701.12</x:v></x:c><x:c r="J9" s="16" t="str"><x:v>Gasto público</x:v></x:c><x:c r="K9" s="19" t="n"><x:v>1</x:v></x:c><x:c r="L9" s="16" t="str"><x:v>Abierto simplificado</x:v></x:c><x:c r="M9" s="16" t="str"><x:v>Sí</x:v></x:c><x:c r="N9" s="21" t="str"><x:v>https://contrataciondelestado.es/wps/poc?uri=deeplink:detalle_licitacion&amp;idEvl=ltyldZlniPDmnwcj%2BxbdTg%3D%3D</x:v></x:c><x:c r="O9" s="21" t="str"><x:v>Abrir contrato</x:v></x:c></x:row><x:row r="10" ht="15" hidden="0" customHeight="1"><x:c r="A10" s="16" t="str"><x:v>C-03</x:v></x:c><x:c r="B10" s="16" t="str"><x:v>190/2024</x:v></x:c><x:c r="C10" s="16" t="str"><x:v>—</x:v></x:c><x:c r="D10" s="16" t="str"><x:v>Samuel Monleón Montesinos</x:v></x:c><x:c r="E10" s="16" t="str"><x:v>Reconstrucción de azud y mejora de acequia</x:v></x:c><x:c r="F10" s="16" t="str"><x:v>Ayuntamiento de Albentosa</x:v></x:c><x:c r="G10" s="17" t="n"><x:v>45614</x:v></x:c><x:c r="H10" s="18" t="n"><x:v>45666.8</x:v></x:c><x:c r="I10" s="18" t="n"><x:v>52256.83</x:v></x:c><x:c r="J10" s="16" t="str"><x:v>Gasto público</x:v></x:c><x:c r="K10" s="19" t="n"><x:v>1</x:v></x:c><x:c r="L10" s="16" t="str"><x:v>Abierto simplificado</x:v></x:c><x:c r="M10" s="16" t="str"><x:v>Sí</x:v></x:c><x:c r="N10" s="21" t="str"><x:v>https://contrataciondelestado.es/wps/poc?uri=deeplink:detalle_licitacion&amp;idEvl=gDP7rTzDShQwYTJJ03sHog%3D%3D</x:v></x:c><x:c r="O10" s="21" t="str"><x:v>Abrir contrato</x:v></x:c></x:row><x:row r="11" ht="15" hidden="0" customHeight="1"><x:c r="A11" s="16" t="str"><x:v>C-04</x:v></x:c><x:c r="B11" s="16" t="str"><x:v>65/2025</x:v></x:c><x:c r="C11" s="16" t="str"><x:v>—</x:v></x:c><x:c r="D11" s="16" t="str"><x:v>María Dolores Aparicio Vilalta</x:v></x:c><x:c r="E11" s="16" t="str"><x:v>Adquisición de finca rústica en Fuentespalda</x:v></x:c><x:c r="F11" s="16" t="str"><x:v>Comarca del Matarraña-Matarranya</x:v></x:c><x:c r="G11" s="17" t="n"><x:v>45784</x:v></x:c><x:c r="H11" s="18" t="n"><x:v>17500</x:v></x:c><x:c r="I11" s="18" t="n"><x:v>17500</x:v></x:c><x:c r="J11" s="16" t="str"><x:v>Gasto público</x:v></x:c><x:c r="K11" s="19" t="n"><x:v>1</x:v></x:c><x:c r="L11" s="16" t="str"><x:v>Negociado sin publicidad</x:v></x:c><x:c r="M11" s="16" t="str"><x:v>Sí</x:v></x:c><x:c r="N11" s="21" t="str"><x:v>https://contrataciondelestado.es/wps/poc?uri=deeplink:detalle_licitacion&amp;idEvl=U6PkcmCKl%2FokJPJS%2BPS9vg%3D%3D</x:v></x:c><x:c r="O11" s="21" t="str"><x:v>Abrir contrato</x:v></x:c></x:row><x:row r="12" ht="21.600000381469727" hidden="0" customHeight="1"><x:c r="A12" s="16" t="str"><x:v>C-05</x:v></x:c><x:c r="B12" s="16" t="str"><x:v>143/2025</x:v></x:c><x:c r="C12" s="16" t="str"><x:v>—</x:v></x:c><x:c r="D12" s="16" t="str"><x:v>Sergio Salvador Viveros (identidad no confirmable en registros abiertos)</x:v></x:c><x:c r="E12" s="16" t="str"><x:v>Urbanización y consolidación de la calle Boira</x:v></x:c><x:c r="F12" s="16" t="str"><x:v>Ayuntamiento de Puebla de Arenoso</x:v></x:c><x:c r="G12" s="17" t="n"><x:v>45757</x:v></x:c><x:c r="H12" s="18" t="n"><x:v>159923.98</x:v></x:c><x:c r="I12" s="18" t="n"><x:v>193508.02</x:v></x:c><x:c r="J12" s="16" t="str"><x:v>Gasto público</x:v></x:c><x:c r="K12" s="19" t="n"><x:v>1</x:v></x:c><x:c r="L12" s="16" t="str"><x:v>Negociado sin publicidad</x:v></x:c><x:c r="M12" s="16" t="str"><x:v>No atribuible sin confirmar identidad</x:v></x:c><x:c r="N12" s="21" t="str"><x:v>https://contrataciondelestado.es/wps/poc?uri=deeplink:detalle_licitacion&amp;idEvl=jn9C4PfATATIGlsa0Wad%2Bw%3D%3D</x:v></x:c><x:c r="O12" s="21" t="str"><x:v>Abrir contrato</x:v></x:c></x:row><x:row r="13" ht="21.600000381469727" hidden="0" customHeight="1"><x:c r="A13" s="16" t="str"><x:v>C-06</x:v></x:c><x:c r="B13" s="16" t="str"><x:v>01/2025</x:v></x:c><x:c r="C13" s="16" t="str"><x:v>—</x:v></x:c><x:c r="D13" s="16" t="str"><x:v>Diego Puerta Lázaro</x:v></x:c><x:c r="E13" s="16" t="str"><x:v>Servicio de arquitectura del plan turístico de Molina de Aragón</x:v></x:c><x:c r="F13" s="16" t="str"><x:v>Asociación de Desarrollo Rural Molina de Aragón-Alto Tajo</x:v></x:c><x:c r="G13" s="17" t="n"><x:v>45742</x:v></x:c><x:c r="H13" s="18" t="n"><x:v>43245.84</x:v></x:c><x:c r="I13" s="18" t="n"><x:v>52327.47</x:v></x:c><x:c r="J13" s="16" t="str"><x:v>Gasto público</x:v></x:c><x:c r="K13" s="19" t="n"><x:v>1</x:v></x:c><x:c r="L13" s="16" t="str"><x:v>Abierto simplificado</x:v></x:c><x:c r="M13" s="16" t="str"><x:v>Sí</x:v></x:c><x:c r="N13" s="21" t="str"><x:v>https://contrataciondelestado.es/wps/poc?uri=deeplink:detalle_licitacion&amp;idEvl=F0BBwk0ZHKsadbH3CysQuQ%3D%3D</x:v></x:c><x:c r="O13" s="21" t="str"><x:v>Abrir contrato</x:v></x:c></x:row><x:row r="14" ht="15" hidden="0" customHeight="1"><x:c r="A14" s="16" t="str"><x:v>C-07</x:v></x:c><x:c r="B14" s="16" t="str"><x:v>2025/C004/000001</x:v></x:c><x:c r="C14" s="16" t="str"><x:v>1</x:v></x:c><x:c r="D14" s="16" t="str"><x:v>Jairo Bello Vidal</x:v></x:c><x:c r="E14" s="16" t="str"><x:v>Programa de conciliación y ocio educativo, lote 1</x:v></x:c><x:c r="F14" s="16" t="str"><x:v>Ayuntamiento de Carral</x:v></x:c><x:c r="G14" s="17" t="n"><x:v>45826</x:v></x:c><x:c r="H14" s="18" t="n"><x:v>48793.24</x:v></x:c><x:c r="I14" s="18" t="n"><x:v>53672.56</x:v></x:c><x:c r="J14" s="16" t="str"><x:v>Gasto público</x:v></x:c><x:c r="K14" s="19" t="n"><x:v>2</x:v></x:c><x:c r="L14" s="16" t="str"><x:v>Abierto</x:v></x:c><x:c r="M14" s="16" t="str"><x:v>Sí</x:v></x:c><x:c r="N14" s="21" t="str"><x:v>https://contrataciondelestado.es/wps/poc?uri=deeplink:detalle_licitacion&amp;idEvl=Qz6Qt7gv5ttq1DdmE7eaXg%3D%3D</x:v></x:c><x:c r="O14" s="21" t="str"><x:v>Abrir contrato</x:v></x:c></x:row><x:row r="15" ht="15" hidden="0" customHeight="1"><x:c r="A15" s="16" t="str"><x:v>C-07</x:v></x:c><x:c r="B15" s="16" t="str"><x:v>2025/C004/000001</x:v></x:c><x:c r="C15" s="16" t="str"><x:v>2</x:v></x:c><x:c r="D15" s="16" t="str"><x:v>Jairo Bello Vidal</x:v></x:c><x:c r="E15" s="16" t="str"><x:v>Programa de conciliación y ocio educativo, lote 2</x:v></x:c><x:c r="F15" s="16" t="str"><x:v>Ayuntamiento de Carral</x:v></x:c><x:c r="G15" s="17" t="n"><x:v>45826</x:v></x:c><x:c r="H15" s="18" t="n"><x:v>8659.62</x:v></x:c><x:c r="I15" s="18" t="n"><x:v>9525.58</x:v></x:c><x:c r="J15" s="16" t="str"><x:v>Gasto público</x:v></x:c><x:c r="K15" s="19" t="n"><x:v>2</x:v></x:c><x:c r="L15" s="16" t="str"><x:v>Abierto</x:v></x:c><x:c r="M15" s="16" t="str"><x:v>Sí</x:v></x:c><x:c r="N15" s="21" t="str"><x:v>https://contrataciondelestado.es/wps/poc?uri=deeplink:detalle_licitacion&amp;idEvl=Qz6Qt7gv5ttq1DdmE7eaXg%3D%3D</x:v></x:c><x:c r="O15" s="21" t="str"><x:v>Abrir contrato</x:v></x:c></x:row><x:row r="16" ht="15" hidden="0" customHeight="1"><x:c r="A16" s="16" t="str"><x:v>C-08</x:v></x:c><x:c r="B16" s="16" t="str"><x:v>8/2024</x:v></x:c><x:c r="C16" s="16" t="str"><x:v>2</x:v></x:c><x:c r="D16" s="16" t="str"><x:v>Joaquín Miguel Becerra Tijeras</x:v></x:c><x:c r="E16" s="16" t="str"><x:v>Dirección facultativa y seguridad del balizamiento de playas</x:v></x:c><x:c r="F16" s="16" t="str"><x:v>Mancomunidad de Municipios de la Bahía de Cádiz</x:v></x:c><x:c r="G16" s="17" t="n"><x:v>45652</x:v></x:c><x:c r="H16" s="18" t="n"><x:v>1471.76</x:v></x:c><x:c r="I16" s="18" t="n"><x:v>1780.83</x:v></x:c><x:c r="J16" s="16" t="str"><x:v>Gasto público</x:v></x:c><x:c r="K16" s="19" t="n"><x:v>1</x:v></x:c><x:c r="L16" s="16" t="str"><x:v>Abierto simplificado</x:v></x:c><x:c r="M16" s="16" t="str"><x:v>Sí</x:v></x:c><x:c r="N16" s="21" t="str"><x:v>https://contrataciondelestado.es/wps/poc?uri=deeplink:detalle_licitacion&amp;idEvl=ePnPMQh1Ak68ebB%2FXTwy0A%3D%3D</x:v></x:c><x:c r="O16" s="21" t="str"><x:v>Abrir contrato</x:v></x:c></x:row><x:row r="17" ht="15" hidden="0" customHeight="1"><x:c r="A17" s="16" t="str"><x:v>C-09</x:v></x:c><x:c r="B17" s="16" t="str"><x:v>eAJ-0054/2025</x:v></x:c><x:c r="C17" s="16" t="str"><x:v>—</x:v></x:c><x:c r="D17" s="16" t="str"><x:v>Adrián Rodríguez González</x:v></x:c><x:c r="E17" s="16" t="str"><x:v>Patrocinio del evento Soplo de Letras 2025</x:v></x:c><x:c r="F17" s="16" t="str"><x:v>Promotur Turismo Canarias S.A.</x:v></x:c><x:c r="G17" s="17" t="n"><x:v>45789</x:v></x:c><x:c r="H17" s="18" t="n"><x:v>51168.22</x:v></x:c><x:c r="I17" s="18" t="n"><x:v>54750</x:v></x:c><x:c r="J17" s="16" t="str"><x:v>Patrocinio público</x:v></x:c><x:c r="K17" s="19" t="n"><x:v>1</x:v></x:c><x:c r="L17" s="16" t="str"><x:v>Negociado por exclusividad</x:v></x:c><x:c r="M17" s="16" t="str"><x:v>Sí</x:v></x:c><x:c r="N17" s="21" t="str"><x:v>https://contrataciondelestado.es/wps/poc?uri=deeplink:detalle_licitacion&amp;idEvl=7pSzW7VkXiYS7pcxhTeWOg%3D%3D</x:v></x:c><x:c r="O17" s="21" t="str"><x:v>Abrir contrato</x:v></x:c></x:row><x:row r="18" ht="15" hidden="0" customHeight="1"><x:c r="A18" s="16" t="str"><x:v>C-10</x:v></x:c><x:c r="B18" s="16" t="str"><x:v>P22/25</x:v></x:c><x:c r="C18" s="16" t="str"><x:v>—</x:v></x:c><x:c r="D18" s="16" t="str"><x:v>Kini Carrasco Ávila</x:v></x:c><x:c r="E18" s="16" t="str"><x:v>Patrocinio deportivo de imagen durante 2025</x:v></x:c><x:c r="F18" s="16" t="str"><x:v>Fundación Jóvenes y Deporte</x:v></x:c><x:c r="G18" s="17" t="n"><x:v>45747</x:v></x:c><x:c r="H18" s="18" t="n"><x:v>4132.23</x:v></x:c><x:c r="I18" s="18" t="n"><x:v>5000</x:v></x:c><x:c r="J18" s="16" t="str"><x:v>Patrocinio público</x:v></x:c><x:c r="K18" s="19" t="n"><x:v>1</x:v></x:c><x:c r="L18" s="16" t="str"><x:v>Negociado sin publicidad</x:v></x:c><x:c r="M18" s="16" t="str"><x:v>No</x:v></x:c><x:c r="N18" s="21" t="str"><x:v>https://contrataciondelestado.es/wps/poc?uri=deeplink:detalle_licitacion&amp;idEvl=Y5DwEEep%2FEyFQ%2FlhRK79lA%3D%3D</x:v></x:c><x:c r="O18" s="21" t="str"><x:v>Abrir contrato</x:v></x:c></x:row><x:row r="19" ht="21.600000381469727" hidden="0" customHeight="1"><x:c r="A19" s="16" t="str"><x:v>C-11</x:v></x:c><x:c r="B19" s="16" t="str"><x:v>CP-OTROS/1/2022</x:v></x:c><x:c r="C19" s="16" t="str"><x:v>—</x:v></x:c><x:c r="D19" s="16" t="str"><x:v>Antonio Jesús Sánchez Castuera</x:v></x:c><x:c r="E19" s="16" t="str"><x:v>Arrendamiento de masas comunes, riego, secano y huertos 2023-2028</x:v></x:c><x:c r="F19" s="16" t="str"><x:v>Ayuntamiento de Miajadas</x:v></x:c><x:c r="G19" s="17" t="n"><x:v>44994</x:v></x:c><x:c r="H19" s="18" t="n"><x:v>322.84</x:v></x:c><x:c r="I19" s="18" t="n"><x:v>322.84</x:v></x:c><x:c r="J19" s="16" t="str"><x:v>Canon municipal</x:v></x:c><x:c r="K19" s="19" t="n"><x:v>42</x:v></x:c><x:c r="L19" s="16" t="str"><x:v>Abierto</x:v></x:c><x:c r="M19" s="16" t="str"><x:v>No en fecha de adjudicación</x:v></x:c><x:c r="N19" s="21" t="str"><x:v>https://contrataciondelestado.es/wps/poc?uri=deeplink:detalle_licitacion&amp;idEvl=BDZ88lsFjCx7h85%2Fpmmsfw%3D%3D</x:v></x:c><x:c r="O19" s="21" t="str"><x:v>Abrir contrato</x:v></x:c></x:row></x:sheetData><x:mergeCells><x:mergeCell ref="A1:O2" /><x:mergeCell ref="A3:O3" /></x:mergeCells><x:pageMargins left="0.7" right="0.7" top="0.75" bottom="0.75" header="0.3" footer="0.3" /><x:tableParts count="1"><x:tablePart r:id="Rf09879a4536c47f4" xmlns:r="http://schemas.openxmlformats.org/officeDocument/2006/relationships" /></x:tableParts></x:worksheet><hyperlinks><hyperlink ref="O6" r:id="rId1"/><hyperlink ref="O7" r:id="rId2"/><hyperlink ref="O8" r:id="rId3"/><hyperlink ref="O9" r:id="rId4"/><hyperlink ref="O10" r:id="rId5"/><hyperlink ref="O11" r:id="rId6"/><hyperlink ref="O12" r:id="rId7"/><hyperlink ref="O13" r:id="rId8"/><hyperlink ref="O14" r:id="rId9"/><hyperlink ref="O15" r:id="rId10"/><hyperlink ref="O16" r:id="rId11"/><hyperlink ref="O17" r:id="rId12"/><hyperlink ref="O18" r:id="rId13"/><hyperlink ref="O19" r:id="rId14"/></hyperlinks>
</file>

<file path=xl/worksheets/sheet4.xml><?xml version="1.0" encoding="utf-8"?><x:worksheet xmlns:x="http://schemas.openxmlformats.org/spreadsheetml/2006/main"><x:sheetViews><x:sheetView showGridLines="0" workbookViewId="0" /></x:sheetViews><x:sheetFormatPr defaultRowHeight="15" /><x:cols><x:col min="1" max="1" width="8" hidden="0" customWidth="1" /><x:col min="2" max="2" width="32" hidden="0" customWidth="1" /><x:col min="3" max="3" width="11" hidden="0" customWidth="1" /><x:col min="4" max="4" width="18" hidden="0" customWidth="1" /><x:col min="5" max="5" width="36" hidden="0" customWidth="1" /><x:col min="6" max="6" width="50" hidden="0" customWidth="1" /><x:col min="7" max="7" width="28" hidden="0" customWidth="1" /><x:col min="8" max="8" width="46" hidden="0" customWidth="1" /><x:col min="9" max="9" width="46" hidden="0" customWidth="1" /><x:col min="10" max="10" width="15" hidden="0" customWidth="1" /></x:cols><x:sheetData><x:row r="1" ht="24" customHeight="1"><x:c r="A1" s="4" t="str"><x:v>Señales sistémicas revisadas</x:v></x:c><x:c r="B1" s="4" /><x:c r="C1" s="4" /><x:c r="D1" s="4" /><x:c r="E1" s="4" /><x:c r="F1" s="4" /><x:c r="G1" s="4" /><x:c r="H1" s="4" /><x:c r="I1" s="4" /><x:c r="J1" s="4" /></x:row><x:row r="2" ht="24" customHeight="1"><x:c r="A2" s="4" /><x:c r="B2" s="4" /><x:c r="C2" s="4" /><x:c r="D2" s="4" /><x:c r="E2" s="4" /><x:c r="F2" s="4" /><x:c r="G2" s="4" /><x:c r="H2" s="4" /><x:c r="I2" s="4" /><x:c r="J2" s="4" /></x:row><x:row r="3" ht="30" hidden="0" customHeight="1"><x:c r="A3" s="8" t="str"><x:v>Clústeres de importe o procedimiento anómalo. La revisión distingue anomalía real, artefacto de datos, contexto jurídico y documentos que deben exigirse cuando no están publicados.</x:v></x:c><x:c r="B3" s="8" /><x:c r="C3" s="8" /><x:c r="D3" s="8" /><x:c r="E3" s="8" /><x:c r="F3" s="8" /><x:c r="G3" s="8" /><x:c r="H3" s="8" /><x:c r="I3" s="8" /><x:c r="J3" s="8" /></x:row><x:row r="4" ht="15" hidden="0" customHeight="1"><x:c r="A4" s="93" /><x:c r="B4" s="93" /><x:c r="C4" s="93" /><x:c r="D4" s="93" /><x:c r="E4" s="93" /><x:c r="F4" s="93" /><x:c r="G4" s="93" /><x:c r="H4" s="93" /><x:c r="I4" s="93" /><x:c r="J4" s="93" /></x:row><x:row r="5" ht="15" hidden="0" customHeight="1"><x:c r="A5" s="13" t="str"><x:v>ID</x:v></x:c><x:c r="B5" s="13" t="str"><x:v>Clúster</x:v></x:c><x:c r="C5" s="13" t="str"><x:v>Expedientes</x:v></x:c><x:c r="D5" s="13" t="str"><x:v>Importe agregado (€)</x:v></x:c><x:c r="E5" s="13" t="str"><x:v>Señal inicial</x:v></x:c><x:c r="F5" s="13" t="str"><x:v>Comprobación</x:v></x:c><x:c r="G5" s="13" t="str"><x:v>Conclusión</x:v></x:c><x:c r="H5" s="13" t="str"><x:v>Control o exigencia restante</x:v></x:c><x:c r="I5" s="13" t="str"><x:v>URL principal</x:v></x:c><x:c r="J5" s="13" t="str"><x:v>Enlace</x:v></x:c></x:row><x:row r="6" ht="32.400001525878906" hidden="0" customHeight="1"><x:c r="A6" s="16" t="str"><x:v>S-01</x:v></x:c><x:c r="B6" s="16" t="str"><x:v>Transporte sanitario de Castilla-La Mancha</x:v></x:c><x:c r="C6" s="19" t="n"><x:v>22</x:v></x:c><x:c r="D6" s="18" t="n"><x:v>81662358.1</x:v></x:c><x:c r="E6" s="16" t="str"><x:v>Veintidós contratos puente de dos meses, negociados sin publicidad, con una oferta y adjudicación sin baja</x:v></x:c><x:c r="F6" s="16" t="str"><x:v>La revisión amplió el universo: cinco provincias en dos rondas de 2025 y cuatro provincias en otras tres rondas hasta 2026. Los importes provinciales se repiten sin reducción. El concurso ordinario era abierto, de cinco años y 540,53 M€.</x:v></x:c><x:c r="G6" s="29" t="str"><x:v>Alerta de gobernanza reforzada</x:v></x:c><x:c r="H6" s="16" t="str"><x:v>Exigir al SESCAM los informes de necesidad, resoluciones firmadas, invitaciones, actas de negociación y estudio de costes que sustentaron cada puente y su prolongación.</x:v></x:c><x:c r="I6" s="21" t="str"><x:v>https://contrataciondelestado.es/wps/poc?uri=deeplink:detalle_licitacion&amp;idEvl=%2Bj7vWwdYL9CFQ%2FlhRK79lA%3D%3D</x:v></x:c><x:c r="J6" s="21" t="str"><x:v>Abrir evidencia</x:v></x:c></x:row><x:row r="7" ht="21.600000381469727" hidden="0" customHeight="1"><x:c r="A7" s="16" t="str"><x:v>S-02</x:v></x:c><x:c r="B7" s="16" t="str"><x:v>Vigilancia y seguridad del Gobierno de Aragón</x:v></x:c><x:c r="C7" s="19" t="n"><x:v>10</x:v></x:c><x:c r="D7" s="18" t="n"><x:v>2208821.91</x:v></x:c><x:c r="E7" s="16" t="str"><x:v>Contratos derivados muestran una sola oferta de COVIAR</x:v></x:c><x:c r="F7" s="16" t="str"><x:v>El acuerdo marco subyacente sí tuvo competencia: seis empresas puntuadas; COVIAR quedó primera en el lote 2 y varias empresas fueron homologadas.</x:v></x:c><x:c r="G7" s="42" t="str"><x:v>Aclarado como artefacto de datos</x:v></x:c><x:c r="H7" s="16" t="str"><x:v>Conservar relación acuerdo-marco/derivado en el modelo para evitar falsos positivos de oferta única.</x:v></x:c><x:c r="I7" s="21" t="str"><x:v>https://compracentralizada.aragon.es/media/catalog/category/16._Orden_adjudicacion_HAP_SCC_2024_20.pdf</x:v></x:c><x:c r="J7" s="21" t="str"><x:v>Abrir evidencia</x:v></x:c></x:row><x:row r="8" ht="32.400001525878906" hidden="0" customHeight="1"><x:c r="A8" s="16" t="str"><x:v>S-03</x:v></x:c><x:c r="B8" s="16" t="str"><x:v>Patrocinios Promotur: Farra Events y World Live Music</x:v></x:c><x:c r="C8" s="19" t="n"><x:v>10</x:v></x:c><x:c r="D8" s="18" t="n"><x:v>1132196.28</x:v></x:c><x:c r="E8" s="16" t="str"><x:v>Formalizaciones negociadas sin publicidad por exclusividad y concentración en dos proveedores</x:v></x:c><x:c r="F8" s="16" t="str"><x:v>Los diez patrocinios proceden de convocatorias competitivas. Se localizaron las resoluciones y puntuaciones de los diez proyectos: todos superaron la selección antes de la formalización exclusiva.</x:v></x:c><x:c r="G8" s="42" t="str"><x:v>Contexto competitivo acreditado</x:v></x:c><x:c r="H8" s="16" t="str"><x:v>Mantener control de concentración, ejecución y memorias de impacto; la exclusividad de la formalización no prueba por sí sola selección discrecional.</x:v></x:c><x:c r="I8" s="21" t="str"><x:v>https://transparencia.turismodeislascanarias.com/sites/default/files/documents/Contratos_Formalizados_PROMOTUR.pdf</x:v></x:c><x:c r="J8" s="21" t="str"><x:v>Abrir evidencia</x:v></x:c></x:row><x:row r="9" ht="32.400001525878906" hidden="0" customHeight="1"><x:c r="A9" s="16" t="str"><x:v>S-04</x:v></x:c><x:c r="B9" s="16" t="str"><x:v>Patrocinios Diputación de Cádiz / Grupo Concert Tour</x:v></x:c><x:c r="C9" s="19" t="n"><x:v>3</x:v></x:c><x:c r="D9" s="18" t="n"><x:v>719008.28</x:v></x:c><x:c r="E9" s="16" t="str"><x:v>Tres contratos negociados con una sola empresa y adjudicación por el presupuesto íntegro</x:v></x:c><x:c r="F9" s="16" t="str"><x:v>Los pliegos invocan derechos exclusivos y exigen negociación individual del precio e informe posterior de impacto. No constan publicadas actas de negociación, comparación de precio ni memorias de impacto.</x:v></x:c><x:c r="G9" s="29" t="str"><x:v>Valor por dinero no acreditado públicamente</x:v></x:c><x:c r="H9" s="16" t="str"><x:v>Exigir a la Diputación de Cádiz las actas de negociación, certificados de exclusividad, facturas, pagos y memorias de impacto de 2024_CCPNSP_00021, 2025_CCPNSP_00010 y 2025_CCPNSP_00001.</x:v></x:c><x:c r="I9" s="21" t="str"><x:v>https://contrataciondelestado.es/wps/poc?uri=deeplink:detalle_licitacion&amp;idEvl=crmtJnVJo3Y3vLk2DU2Ddg%3D%3D</x:v></x:c><x:c r="J9" s="21" t="str"><x:v>Abrir evidencia</x:v></x:c></x:row></x:sheetData><x:mergeCells><x:mergeCell ref="A1:J2" /><x:mergeCell ref="A3:J3" /></x:mergeCells><x:pageMargins left="0.7" right="0.7" top="0.75" bottom="0.75" header="0.3" footer="0.3" /><x:tableParts count="1"><x:tablePart r:id="Rc389668c4a014b84" xmlns:r="http://schemas.openxmlformats.org/officeDocument/2006/relationships" /></x:tableParts></x:worksheet><hyperlinks><hyperlink ref="J6" r:id="rId1"/><hyperlink ref="J7" r:id="rId2"/><hyperlink ref="J8" r:id="rId3"/><hyperlink ref="J9" r:id="rId4"/></hyperlinks>
</file>

<file path=xl/worksheets/sheet5.xml><?xml version="1.0" encoding="utf-8"?><x:worksheet xmlns:x="http://schemas.openxmlformats.org/spreadsheetml/2006/main"><x:sheetViews><x:sheetView showGridLines="0" workbookViewId="0" /></x:sheetViews><x:sheetFormatPr defaultRowHeight="15" /><x:cols><x:col min="1" max="1" width="10" hidden="0" customWidth="1" /><x:col min="2" max="2" width="12" hidden="0" customWidth="1" /><x:col min="3" max="3" width="18" hidden="0" customWidth="1" /><x:col min="4" max="4" width="30" hidden="0" customWidth="1" /><x:col min="5" max="5" width="34" hidden="0" customWidth="1" /><x:col min="6" max="6" width="48" hidden="0" customWidth="1" /><x:col min="7" max="7" width="17" hidden="0" customWidth="1" /><x:col min="8" max="8" width="14" hidden="0" customWidth="1" /><x:col min="9" max="9" width="58" hidden="0" customWidth="1" /><x:col min="10" max="10" width="14" hidden="0" customWidth="1" /></x:cols><x:sheetData><x:row r="1" ht="24" customHeight="1"><x:c r="A1" s="4" t="str"><x:v>Registro maestro de fuentes y enlaces</x:v></x:c><x:c r="B1" s="4" /><x:c r="C1" s="4" /><x:c r="D1" s="4" /><x:c r="E1" s="4" /><x:c r="F1" s="4" /><x:c r="G1" s="4" /><x:c r="H1" s="4" /><x:c r="I1" s="4" /><x:c r="J1" s="4" /></x:row><x:row r="2" ht="24" customHeight="1"><x:c r="A2" s="4" /><x:c r="B2" s="4" /><x:c r="C2" s="4" /><x:c r="D2" s="4" /><x:c r="E2" s="4" /><x:c r="F2" s="4" /><x:c r="G2" s="4" /><x:c r="H2" s="4" /><x:c r="I2" s="4" /><x:c r="J2" s="4" /></x:row><x:row r="3" ht="30" hidden="0" customHeight="1"><x:c r="A3" s="8" t="str"><x:v>Cada fila explica qué prueba la fuente y su fuerza. URL completa conservada para trazabilidad; la columna Enlace abre el documento.</x:v></x:c><x:c r="B3" s="8" /><x:c r="C3" s="8" /><x:c r="D3" s="8" /><x:c r="E3" s="8" /><x:c r="F3" s="8" /><x:c r="G3" s="8" /><x:c r="H3" s="8" /><x:c r="I3" s="8" /><x:c r="J3" s="8" /></x:row><x:row r="4" ht="15" hidden="0" customHeight="1"><x:c r="A4" s="93" /><x:c r="B4" s="93" /><x:c r="C4" s="93" /><x:c r="D4" s="93" /><x:c r="E4" s="93" /><x:c r="F4" s="93" /><x:c r="G4" s="93" /><x:c r="H4" s="93" /><x:c r="I4" s="93" /><x:c r="J4" s="93" /></x:row><x:row r="5" ht="15" hidden="0" customHeight="1"><x:c r="A5" s="13" t="str"><x:v>Fuente ID</x:v></x:c><x:c r="B5" s="13" t="str"><x:v>Caso/Clúster</x:v></x:c><x:c r="C5" s="13" t="str"><x:v>Tipo</x:v></x:c><x:c r="D5" s="13" t="str"><x:v>Organismo o editor</x:v></x:c><x:c r="E5" s="13" t="str"><x:v>Documento</x:v></x:c><x:c r="F5" s="13" t="str"><x:v>Qué demuestra</x:v></x:c><x:c r="G5" s="13" t="str"><x:v>Calidad</x:v></x:c><x:c r="H5" s="13" t="str"><x:v>Fecha de consulta</x:v></x:c><x:c r="I5" s="13" t="str"><x:v>URL completa</x:v></x:c><x:c r="J5" s="13" t="str"><x:v>Enlace</x:v></x:c></x:row><x:row r="6" ht="15" hidden="0" customHeight="1"><x:c r="A6" s="16" t="str"><x:v>F-001</x:v></x:c><x:c r="B6" s="16" t="str"><x:v>C-01</x:v></x:c><x:c r="C6" s="16" t="str"><x:v>Cargo</x:v></x:c><x:c r="D6" s="16" t="str"><x:v>Ayuntamiento de Cidones</x:v></x:c><x:c r="E6" s="16" t="str"><x:v>Corporación municipal</x:v></x:c><x:c r="F6" s="16" t="str"><x:v>Confirma que Pascual de Miguel Gómez es alcalde</x:v></x:c><x:c r="G6" s="16" t="str"><x:v>Primaria</x:v></x:c><x:c r="H6" s="17" t="n"><x:v>46246</x:v></x:c><x:c r="I6" s="21" t="str"><x:v>https://www.cidones.es/corporacion</x:v></x:c><x:c r="J6" s="21" t="str"><x:v>Abrir fuente</x:v></x:c></x:row><x:row r="7" ht="15" hidden="0" customHeight="1"><x:c r="A7" s="16" t="str"><x:v>F-002</x:v></x:c><x:c r="B7" s="16" t="str"><x:v>C-01</x:v></x:c><x:c r="C7" s="16" t="str"><x:v>Contrato</x:v></x:c><x:c r="D7" s="16" t="str"><x:v>PLACSP</x:v></x:c><x:c r="E7" s="16" t="str"><x:v>Expediente 1/2025</x:v></x:c><x:c r="F7" s="16" t="str"><x:v>Confirma órgano, procedimiento, oferta, fecha, importe y adjudicatario</x:v></x:c><x:c r="G7" s="16" t="str"><x:v>Primaria</x:v></x:c><x:c r="H7" s="17" t="n"><x:v>46246</x:v></x:c><x:c r="I7" s="21" t="str"><x:v>https://contrataciondelestado.es/wps/poc?uri=deeplink:detalle_licitacion&amp;idEvl=Bw%2BtY1gBGzXVGIpKDxgsAQ%3D%3D</x:v></x:c><x:c r="J7" s="21" t="str"><x:v>Abrir fuente</x:v></x:c></x:row><x:row r="8" ht="15" hidden="0" customHeight="1"><x:c r="A8" s="16" t="str"><x:v>F-003</x:v></x:c><x:c r="B8" s="16" t="str"><x:v>C-02</x:v></x:c><x:c r="C8" s="16" t="str"><x:v>Adjudicación</x:v></x:c><x:c r="D8" s="16" t="str"><x:v>Ayuntamiento de Íllar</x:v></x:c><x:c r="E8" s="16" t="str"><x:v>Anuncio de adjudicación del bar de la piscina</x:v></x:c><x:c r="F8" s="16" t="str"><x:v>Confirma tres ofertas, criterios, puntuación e identidad enmascarada</x:v></x:c><x:c r="G8" s="16" t="str"><x:v>Primaria</x:v></x:c><x:c r="H8" s="17" t="n"><x:v>46246</x:v></x:c><x:c r="I8" s="21" t="str"><x:v>https://www.illar.es/Servicios/Tablon/anexos.nsf/B82EBCBBB1530428C1258C28004C2B4B/%24file/DOC_CAN_ADJ2025-000122856.pdf</x:v></x:c><x:c r="J8" s="21" t="str"><x:v>Abrir fuente</x:v></x:c></x:row><x:row r="9" ht="15" hidden="0" customHeight="1"><x:c r="A9" s="16" t="str"><x:v>F-004</x:v></x:c><x:c r="B9" s="16" t="str"><x:v>C-02</x:v></x:c><x:c r="C9" s="16" t="str"><x:v>Cargo</x:v></x:c><x:c r="D9" s="16" t="str"><x:v>Ayuntamiento de Íllar</x:v></x:c><x:c r="E9" s="16" t="str"><x:v>Composición del Pleno</x:v></x:c><x:c r="F9" s="16" t="str"><x:v>Confirma que María Cristina Lao Tortosa es concejala</x:v></x:c><x:c r="G9" s="16" t="str"><x:v>Primaria</x:v></x:c><x:c r="H9" s="17" t="n"><x:v>46246</x:v></x:c><x:c r="I9" s="21" t="str"><x:v>https://www.illar.es/Servicios/cmsdipro/index.nsf/corporaciones_entidad_organo2.xsp?organo=Pleno&amp;p=Illar</x:v></x:c><x:c r="J9" s="21" t="str"><x:v>Abrir fuente</x:v></x:c></x:row><x:row r="10" ht="15" hidden="0" customHeight="1"><x:c r="A10" s="16" t="str"><x:v>F-005</x:v></x:c><x:c r="B10" s="16" t="str"><x:v>C-03</x:v></x:c><x:c r="C10" s="16" t="str"><x:v>Identidad</x:v></x:c><x:c r="D10" s="16" t="str"><x:v>PLACSP / Ayuntamiento de Cabra de Mora</x:v></x:c><x:c r="E10" s="16" t="str"><x:v>Documento firmado electrónicamente</x:v></x:c><x:c r="F10" s="16" t="str"><x:v>El mismo identificador fiscal aparece en la firma del alcalde y en los contratos</x:v></x:c><x:c r="G10" s="16" t="str"><x:v>Primaria</x:v></x:c><x:c r="H10" s="17" t="n"><x:v>46246</x:v></x:c><x:c r="I10" s="21" t="str"><x:v>https://contrataciondelestado.es/wps/wcm/connect/PLACE_es/Site/area/docAccCmpnt?DocumentIdParam=884c51bb-42ed-4fbc-ba17-f15b1c8eca21&amp;cmpntname=GetDocumentsById&amp;source=library&amp;srv=cmpnt</x:v></x:c><x:c r="J10" s="21" t="str"><x:v>Abrir fuente</x:v></x:c></x:row><x:row r="11" ht="15" hidden="0" customHeight="1"><x:c r="A11" s="16" t="str"><x:v>F-006</x:v></x:c><x:c r="B11" s="16" t="str"><x:v>C-03</x:v></x:c><x:c r="C11" s="16" t="str"><x:v>Contrato</x:v></x:c><x:c r="D11" s="16" t="str"><x:v>PLACSP</x:v></x:c><x:c r="E11" s="16" t="str"><x:v>Expediente 357/2024</x:v></x:c><x:c r="F11" s="16" t="str"><x:v>Dos lotes en Mora de Rubielos, una oferta</x:v></x:c><x:c r="G11" s="16" t="str"><x:v>Primaria</x:v></x:c><x:c r="H11" s="17" t="n"><x:v>46246</x:v></x:c><x:c r="I11" s="21" t="str"><x:v>https://contrataciondelestado.es/wps/poc?uri=deeplink:detalle_licitacion&amp;idEvl=ltyldZlniPDmnwcj%2BxbdTg%3D%3D</x:v></x:c><x:c r="J11" s="21" t="str"><x:v>Abrir fuente</x:v></x:c></x:row><x:row r="12" ht="15" hidden="0" customHeight="1"><x:c r="A12" s="16" t="str"><x:v>F-007</x:v></x:c><x:c r="B12" s="16" t="str"><x:v>C-03</x:v></x:c><x:c r="C12" s="16" t="str"><x:v>Contrato</x:v></x:c><x:c r="D12" s="16" t="str"><x:v>PLACSP</x:v></x:c><x:c r="E12" s="16" t="str"><x:v>Expediente 190/2024</x:v></x:c><x:c r="F12" s="16" t="str"><x:v>Obra en Albentosa, una oferta</x:v></x:c><x:c r="G12" s="16" t="str"><x:v>Primaria</x:v></x:c><x:c r="H12" s="17" t="n"><x:v>46246</x:v></x:c><x:c r="I12" s="21" t="str"><x:v>https://contrataciondelestado.es/wps/poc?uri=deeplink:detalle_licitacion&amp;idEvl=gDP7rTzDShQwYTJJ03sHog%3D%3D</x:v></x:c><x:c r="J12" s="21" t="str"><x:v>Abrir fuente</x:v></x:c></x:row><x:row r="13" ht="15" hidden="0" customHeight="1"><x:c r="A13" s="16" t="str"><x:v>F-008</x:v></x:c><x:c r="B13" s="16" t="str"><x:v>C-04</x:v></x:c><x:c r="C13" s="16" t="str"><x:v>Contrato</x:v></x:c><x:c r="D13" s="16" t="str"><x:v>PLACSP</x:v></x:c><x:c r="E13" s="16" t="str"><x:v>Expediente 65/2025</x:v></x:c><x:c r="F13" s="16" t="str"><x:v>Compra de finca por la comarca</x:v></x:c><x:c r="G13" s="16" t="str"><x:v>Primaria</x:v></x:c><x:c r="H13" s="17" t="n"><x:v>46246</x:v></x:c><x:c r="I13" s="21" t="str"><x:v>https://contrataciondelestado.es/wps/poc?uri=deeplink:detalle_licitacion&amp;idEvl=U6PkcmCKl%2FokJPJS%2BPS9vg%3D%3D</x:v></x:c><x:c r="J13" s="21" t="str"><x:v>Abrir fuente</x:v></x:c></x:row><x:row r="14" ht="15" hidden="0" customHeight="1"><x:c r="A14" s="16" t="str"><x:v>F-009</x:v></x:c><x:c r="B14" s="16" t="str"><x:v>C-04</x:v></x:c><x:c r="C14" s="16" t="str"><x:v>Cargo comarcal</x:v></x:c><x:c r="D14" s="16" t="str"><x:v>Boletín Oficial de Aragón</x:v></x:c><x:c r="E14" s="16" t="str"><x:v>Proclamación del Consejo Comarcal 2023</x:v></x:c><x:c r="F14" s="16" t="str"><x:v>La sitúa como suplente del PP, no consejera titular</x:v></x:c><x:c r="G14" s="16" t="str"><x:v>Primaria</x:v></x:c><x:c r="H14" s="17" t="n"><x:v>46246</x:v></x:c><x:c r="I14" s="21" t="str"><x:v>https://www.boa.aragon.es/cgi-bin/EBOA/BRSCGI?CMD=VEROBJ&amp;MLKOB=1286303441111&amp;type=pdf</x:v></x:c><x:c r="J14" s="21" t="str"><x:v>Abrir fuente</x:v></x:c></x:row><x:row r="15" ht="15" hidden="0" customHeight="1"><x:c r="A15" s="16" t="str"><x:v>F-010</x:v></x:c><x:c r="B15" s="16" t="str"><x:v>C-04</x:v></x:c><x:c r="C15" s="16" t="str"><x:v>Identidad</x:v></x:c><x:c r="D15" s="16" t="str"><x:v>Gobierno de Aragón</x:v></x:c><x:c r="E15" s="16" t="str"><x:v>Orden pública con identificador enmascarado</x:v></x:c><x:c r="F15" s="16" t="str"><x:v>Nombre exacto y dígitos compatibles con el proveedor</x:v></x:c><x:c r="G15" s="16" t="str"><x:v>Primaria</x:v></x:c><x:c r="H15" s="17" t="n"><x:v>46246</x:v></x:c><x:c r="I15" s="21" t="str"><x:v>https://www.aragon.es/documents/d/guest/3_p4-periodo-16-orden-de-la-consejera-de-industria_firmada</x:v></x:c><x:c r="J15" s="21" t="str"><x:v>Abrir fuente</x:v></x:c></x:row><x:row r="16" ht="15" hidden="0" customHeight="1"><x:c r="A16" s="16" t="str"><x:v>F-011</x:v></x:c><x:c r="B16" s="16" t="str"><x:v>C-04</x:v></x:c><x:c r="C16" s="16" t="str"><x:v>Candidatura</x:v></x:c><x:c r="D16" s="16" t="str"><x:v>Diputación Provincial de Teruel</x:v></x:c><x:c r="E16" s="16" t="str"><x:v>BOP de candidaturas 2023</x:v></x:c><x:c r="F16" s="16" t="str"><x:v>Confirma candidatura municipal en Fuentespalda</x:v></x:c><x:c r="G16" s="16" t="str"><x:v>Primaria</x:v></x:c><x:c r="H16" s="17" t="n"><x:v>46246</x:v></x:c><x:c r="I16" s="21" t="str"><x:v>https://236ws.dpteruel.es/estatico/boletines/2023/26abril.pdf</x:v></x:c><x:c r="J16" s="21" t="str"><x:v>Abrir fuente</x:v></x:c></x:row><x:row r="17" ht="15" hidden="0" customHeight="1"><x:c r="A17" s="16" t="str"><x:v>F-012</x:v></x:c><x:c r="B17" s="16" t="str"><x:v>C-05</x:v></x:c><x:c r="C17" s="16" t="str"><x:v>Contrato</x:v></x:c><x:c r="D17" s="16" t="str"><x:v>PLACSP</x:v></x:c><x:c r="E17" s="16" t="str"><x:v>Expediente 143/2025</x:v></x:c><x:c r="F17" s="16" t="str"><x:v>Obra, importe, una oferta y procedimiento</x:v></x:c><x:c r="G17" s="16" t="str"><x:v>Primaria</x:v></x:c><x:c r="H17" s="17" t="n"><x:v>46246</x:v></x:c><x:c r="I17" s="21" t="str"><x:v>https://contrataciondelestado.es/wps/poc?uri=deeplink:detalle_licitacion&amp;idEvl=jn9C4PfATATIGlsa0Wad%2Bw%3D%3D</x:v></x:c><x:c r="J17" s="21" t="str"><x:v>Abrir fuente</x:v></x:c></x:row><x:row r="18" ht="15" hidden="0" customHeight="1"><x:c r="A18" s="16" t="str"><x:v>F-013</x:v></x:c><x:c r="B18" s="16" t="str"><x:v>C-05</x:v></x:c><x:c r="C18" s="16" t="str"><x:v>Cargo</x:v></x:c><x:c r="D18" s="16" t="str"><x:v>Ayuntamiento de Viver</x:v></x:c><x:c r="E18" s="16" t="str"><x:v>Corporación municipal</x:v></x:c><x:c r="F18" s="16" t="str"><x:v>Confirma el cargo del concejal; no confirma identidad fiscal del proveedor</x:v></x:c><x:c r="G18" s="16" t="str"><x:v>Primaria</x:v></x:c><x:c r="H18" s="17" t="n"><x:v>46246</x:v></x:c><x:c r="I18" s="21" t="str"><x:v>https://viver.es/ayuntamiento-3/</x:v></x:c><x:c r="J18" s="21" t="str"><x:v>Abrir fuente</x:v></x:c></x:row><x:row r="19" ht="15" hidden="0" customHeight="1"><x:c r="A19" s="16" t="str"><x:v>F-014</x:v></x:c><x:c r="B19" s="16" t="str"><x:v>C-06</x:v></x:c><x:c r="C19" s="16" t="str"><x:v>Contrato</x:v></x:c><x:c r="D19" s="16" t="str"><x:v>PLACSP</x:v></x:c><x:c r="E19" s="16" t="str"><x:v>Expediente 01/2025</x:v></x:c><x:c r="F19" s="16" t="str"><x:v>Servicio de arquitectura y datos de adjudicación</x:v></x:c><x:c r="G19" s="16" t="str"><x:v>Primaria</x:v></x:c><x:c r="H19" s="17" t="n"><x:v>46246</x:v></x:c><x:c r="I19" s="21" t="str"><x:v>https://contrataciondelestado.es/wps/poc?uri=deeplink:detalle_licitacion&amp;idEvl=F0BBwk0ZHKsadbH3CysQuQ%3D%3D</x:v></x:c><x:c r="J19" s="21" t="str"><x:v>Abrir fuente</x:v></x:c></x:row><x:row r="20" ht="15" hidden="0" customHeight="1"><x:c r="A20" s="16" t="str"><x:v>F-015</x:v></x:c><x:c r="B20" s="16" t="str"><x:v>C-06</x:v></x:c><x:c r="C20" s="16" t="str"><x:v>Identidad</x:v></x:c><x:c r="D20" s="16" t="str"><x:v>Universidad del País Vasco</x:v></x:c><x:c r="E20" s="16" t="str"><x:v>Programa profesional dpl_estudio</x:v></x:c><x:c r="F20" s="16" t="str"><x:v>Mismo identificador fiscal, profesión y localidad</x:v></x:c><x:c r="G20" s="16" t="str"><x:v>Primaria</x:v></x:c><x:c r="H20" s="17" t="n"><x:v>46246</x:v></x:c><x:c r="I20" s="21" t="str"><x:v>https://www.ehu.eus/documents/d/iraunkortasuna/cuenca-01</x:v></x:c><x:c r="J20" s="21" t="str"><x:v>Abrir fuente</x:v></x:c></x:row><x:row r="21" ht="15" hidden="0" customHeight="1"><x:c r="A21" s="16" t="str"><x:v>F-016</x:v></x:c><x:c r="B21" s="16" t="str"><x:v>C-06</x:v></x:c><x:c r="C21" s="16" t="str"><x:v>Elección</x:v></x:c><x:c r="D21" s="16" t="str"><x:v>Boletín Oficial del Estado</x:v></x:c><x:c r="E21" s="16" t="str"><x:v>Resultados electorales 2023</x:v></x:c><x:c r="F21" s="16" t="str"><x:v>Vincula el nombre con la candidatura local</x:v></x:c><x:c r="G21" s="16" t="str"><x:v>Primaria</x:v></x:c><x:c r="H21" s="17" t="n"><x:v>46246</x:v></x:c><x:c r="I21" s="21" t="str"><x:v>https://www.boe.es/boe/dias/2023/09/15/pdfs/BOE-A-2023-19490.pdf</x:v></x:c><x:c r="J21" s="21" t="str"><x:v>Abrir fuente</x:v></x:c></x:row><x:row r="22" ht="15" hidden="0" customHeight="1"><x:c r="A22" s="16" t="str"><x:v>F-017</x:v></x:c><x:c r="B22" s="16" t="str"><x:v>C-07</x:v></x:c><x:c r="C22" s="16" t="str"><x:v>Contrato</x:v></x:c><x:c r="D22" s="16" t="str"><x:v>PLACSP</x:v></x:c><x:c r="E22" s="16" t="str"><x:v>Expediente 2025/C004/000001</x:v></x:c><x:c r="F22" s="16" t="str"><x:v>Dos lotes, dos ofertas y adjudicación en Carral</x:v></x:c><x:c r="G22" s="16" t="str"><x:v>Primaria</x:v></x:c><x:c r="H22" s="17" t="n"><x:v>46246</x:v></x:c><x:c r="I22" s="21" t="str"><x:v>https://contrataciondelestado.es/wps/poc?uri=deeplink:detalle_licitacion&amp;idEvl=Qz6Qt7gv5ttq1DdmE7eaXg%3D%3D</x:v></x:c><x:c r="J22" s="21" t="str"><x:v>Abrir fuente</x:v></x:c></x:row><x:row r="23" ht="15" hidden="0" customHeight="1"><x:c r="A23" s="16" t="str"><x:v>F-018</x:v></x:c><x:c r="B23" s="16" t="str"><x:v>C-07</x:v></x:c><x:c r="C23" s="16" t="str"><x:v>Cargo</x:v></x:c><x:c r="D23" s="16" t="str"><x:v>Ayuntamiento de Abegondo</x:v></x:c><x:c r="E23" s="16" t="str"><x:v>Información institucional</x:v></x:c><x:c r="F23" s="16" t="str"><x:v>Confirma que Jairo Bello Vidal es concejal</x:v></x:c><x:c r="G23" s="16" t="str"><x:v>Primaria</x:v></x:c><x:c r="H23" s="17" t="n"><x:v>46246</x:v></x:c><x:c r="I23" s="21" t="str"><x:v>https://abegondo.gal/nformacion-institucional-organizativa-e-de-planificacion/</x:v></x:c><x:c r="J23" s="21" t="str"><x:v>Abrir fuente</x:v></x:c></x:row><x:row r="24" ht="15" hidden="0" customHeight="1"><x:c r="A24" s="16" t="str"><x:v>F-019</x:v></x:c><x:c r="B24" s="16" t="str"><x:v>C-07</x:v></x:c><x:c r="C24" s="16" t="str"><x:v>Identidad profesional</x:v></x:c><x:c r="D24" s="16" t="str"><x:v>Real Federación Española de Balonmano</x:v></x:c><x:c r="E24" s="16" t="str"><x:v>Ficha de equipo</x:v></x:c><x:c r="F24" s="16" t="str"><x:v>Nombre y actividad deportiva vinculados a Abegondo</x:v></x:c><x:c r="G24" s="16" t="str"><x:v>Primaria</x:v></x:c><x:c r="H24" s="17" t="n"><x:v>46246</x:v></x:c><x:c r="I24" s="21" t="str"><x:v>https://www.rfebm.com/competiciones/equipo.php?id=1010949&amp;id_equipo=205044</x:v></x:c><x:c r="J24" s="21" t="str"><x:v>Abrir fuente</x:v></x:c></x:row><x:row r="25" ht="21.600000381469727" hidden="0" customHeight="1"><x:c r="A25" s="16" t="str"><x:v>F-020</x:v></x:c><x:c r="B25" s="16" t="str"><x:v>C-07</x:v></x:c><x:c r="C25" s="16" t="str"><x:v>Perfil</x:v></x:c><x:c r="D25" s="16" t="str"><x:v>La Voz de Galicia</x:v></x:c><x:c r="E25" s="16" t="str"><x:v>Perfil electoral 2023</x:v></x:c><x:c r="F25" s="16" t="str"><x:v>Describe al candidato como técnico municipal de deportes; requiere confirmación laboral oficial</x:v></x:c><x:c r="G25" s="16" t="str"><x:v>Secundaria</x:v></x:c><x:c r="H25" s="17" t="n"><x:v>46246</x:v></x:c><x:c r="I25" s="21" t="str"><x:v>https://www.lavozdegalicia.es/noticia/coruna/abegondo/2023/05/10/abegondo/00031683726499750211271.htm</x:v></x:c><x:c r="J25" s="21" t="str"><x:v>Abrir fuente</x:v></x:c></x:row><x:row r="26" ht="15" hidden="0" customHeight="1"><x:c r="A26" s="16" t="str"><x:v>F-021</x:v></x:c><x:c r="B26" s="16" t="str"><x:v>C-08</x:v></x:c><x:c r="C26" s="16" t="str"><x:v>Contrato</x:v></x:c><x:c r="D26" s="16" t="str"><x:v>PLACSP</x:v></x:c><x:c r="E26" s="16" t="str"><x:v>Expediente 8/2024, lote 2</x:v></x:c><x:c r="F26" s="16" t="str"><x:v>Servicio, importe, oferta y procedimiento</x:v></x:c><x:c r="G26" s="16" t="str"><x:v>Primaria</x:v></x:c><x:c r="H26" s="17" t="n"><x:v>46246</x:v></x:c><x:c r="I26" s="21" t="str"><x:v>https://contrataciondelestado.es/wps/poc?uri=deeplink:detalle_licitacion&amp;idEvl=ePnPMQh1Ak68ebB%2FXTwy0A%3D%3D</x:v></x:c><x:c r="J26" s="21" t="str"><x:v>Abrir fuente</x:v></x:c></x:row><x:row r="27" ht="15" hidden="0" customHeight="1"><x:c r="A27" s="16" t="str"><x:v>F-022</x:v></x:c><x:c r="B27" s="16" t="str"><x:v>C-08</x:v></x:c><x:c r="C27" s="16" t="str"><x:v>Identidad</x:v></x:c><x:c r="D27" s="16" t="str"><x:v>PLACSP</x:v></x:c><x:c r="E27" s="16" t="str"><x:v>Adjudicación oficial anterior</x:v></x:c><x:c r="F27" s="16" t="str"><x:v>Mismo nombre e identificador fiscal en contratación anterior</x:v></x:c><x:c r="G27" s="16" t="str"><x:v>Primaria</x:v></x:c><x:c r="H27" s="17" t="n"><x:v>46246</x:v></x:c><x:c r="I27" s="21" t="str"><x:v>https://contrataciondelestado.es/FileSystem/servlet/GetDocumentByIdServlet?DocumentIdParam=KG1w4htMIlzcQFGCEKRtU6PuSGKfVjmp49%2BvSIaIojo%2BaYq2BuDk%2FJnuSsjyLe%2Fs2eeni01PF6IejYUJfMOU6XBX9q529OPAFgmDqEZbek8%3D&amp;cifrado=QUC1GjXXSiLkydRHJBmbpw%3D%3D</x:v></x:c><x:c r="J27" s="21" t="str"><x:v>Abrir fuente</x:v></x:c></x:row><x:row r="28" ht="21.600000381469727" hidden="0" customHeight="1"><x:c r="A28" s="16" t="str"><x:v>F-023</x:v></x:c><x:c r="B28" s="16" t="str"><x:v>C-08</x:v></x:c><x:c r="C28" s="16" t="str"><x:v>Representación</x:v></x:c><x:c r="D28" s="16" t="str"><x:v>Diario de Cádiz</x:v></x:c><x:c r="E28" s="16" t="str"><x:v>Designación de representantes municipales</x:v></x:c><x:c r="F28" s="16" t="str"><x:v>No incluye al concejal entre representantes de San Fernando en la mancomunidad</x:v></x:c><x:c r="G28" s="16" t="str"><x:v>Secundaria</x:v></x:c><x:c r="H28" s="17" t="n"><x:v>46246</x:v></x:c><x:c r="I28" s="21" t="str"><x:v>https://www.diariodecadiz.es/sanfernando/Designados-representantes-Ayuntamiento-San-Fernando-Mancomunidad_0_1813021444.html</x:v></x:c><x:c r="J28" s="21" t="str"><x:v>Abrir fuente</x:v></x:c></x:row><x:row r="29" ht="15" hidden="0" customHeight="1"><x:c r="A29" s="16" t="str"><x:v>F-024</x:v></x:c><x:c r="B29" s="16" t="str"><x:v>C-09</x:v></x:c><x:c r="C29" s="16" t="str"><x:v>Cargo</x:v></x:c><x:c r="D29" s="16" t="str"><x:v>Ayuntamiento de Tegueste</x:v></x:c><x:c r="E29" s="16" t="str"><x:v>Corporación municipal</x:v></x:c><x:c r="F29" s="16" t="str"><x:v>Confirma cargo actual</x:v></x:c><x:c r="G29" s="16" t="str"><x:v>Primaria</x:v></x:c><x:c r="H29" s="17" t="n"><x:v>46246</x:v></x:c><x:c r="I29" s="21" t="str"><x:v>https://www.tegueste.es/la-corporacion/</x:v></x:c><x:c r="J29" s="21" t="str"><x:v>Abrir fuente</x:v></x:c></x:row><x:row r="30" ht="15" hidden="0" customHeight="1"><x:c r="A30" s="16" t="str"><x:v>F-025</x:v></x:c><x:c r="B30" s="16" t="str"><x:v>C-09</x:v></x:c><x:c r="C30" s="16" t="str"><x:v>Competencias</x:v></x:c><x:c r="D30" s="16" t="str"><x:v>Ayuntamiento de Tegueste</x:v></x:c><x:c r="E30" s="16" t="str"><x:v>Reparto de áreas de gobierno 2023</x:v></x:c><x:c r="F30" s="16" t="str"><x:v>Confirma tenencia de alcaldía y áreas asignadas</x:v></x:c><x:c r="G30" s="16" t="str"><x:v>Primaria</x:v></x:c><x:c r="H30" s="17" t="n"><x:v>46246</x:v></x:c><x:c r="I30" s="21" t="str"><x:v>https://www.tegueste.es/noticias/2023/el-ayuntamiento-de-tegueste-formaliza-el-reparto-de-areas-de-gobierno/</x:v></x:c><x:c r="J30" s="21" t="str"><x:v>Abrir fuente</x:v></x:c></x:row><x:row r="31" ht="15" hidden="0" customHeight="1"><x:c r="A31" s="16" t="str"><x:v>F-026</x:v></x:c><x:c r="B31" s="16" t="str"><x:v>C-09</x:v></x:c><x:c r="C31" s="16" t="str"><x:v>Identidad</x:v></x:c><x:c r="D31" s="16" t="str"><x:v>Soplo de Letras</x:v></x:c><x:c r="E31" s="16" t="str"><x:v>Aviso legal</x:v></x:c><x:c r="F31" s="16" t="str"><x:v>Identificador fiscal del titular coincide con adjudicatario</x:v></x:c><x:c r="G31" s="16" t="str"><x:v>Primaria del negocio</x:v></x:c><x:c r="H31" s="17" t="n"><x:v>46246</x:v></x:c><x:c r="I31" s="21" t="str"><x:v>https://soplodeletras.com/aviso-legal/</x:v></x:c><x:c r="J31" s="21" t="str"><x:v>Abrir fuente</x:v></x:c></x:row><x:row r="32" ht="15" hidden="0" customHeight="1"><x:c r="A32" s="16" t="str"><x:v>F-027</x:v></x:c><x:c r="B32" s="16" t="str"><x:v>C-09</x:v></x:c><x:c r="C32" s="16" t="str"><x:v>Selección</x:v></x:c><x:c r="D32" s="16" t="str"><x:v>Promotur Turismo Canarias</x:v></x:c><x:c r="E32" s="16" t="str"><x:v>Resolución definitiva mayo-junio 2025</x:v></x:c><x:c r="F32" s="16" t="str"><x:v>Proyecto clasificado en puesto 7 con 73 puntos y ayuda de 54.750 euros</x:v></x:c><x:c r="G32" s="16" t="str"><x:v>Primaria</x:v></x:c><x:c r="H32" s="17" t="n"><x:v>46246</x:v></x:c><x:c r="I32" s="21" t="str"><x:v>https://turismodeislascanarias.com/sites/default/files/convocatoria/aj33_24cp_res_definitiva_seleccion_valoracion_definitiva_mayo-junio_2025.pdf</x:v></x:c><x:c r="J32" s="21" t="str"><x:v>Abrir fuente</x:v></x:c></x:row><x:row r="33" ht="15" hidden="0" customHeight="1"><x:c r="A33" s="16" t="str"><x:v>F-028</x:v></x:c><x:c r="B33" s="16" t="str"><x:v>C-09</x:v></x:c><x:c r="C33" s="16" t="str"><x:v>Contrato</x:v></x:c><x:c r="D33" s="16" t="str"><x:v>Promotur Turismo Canarias</x:v></x:c><x:c r="E33" s="16" t="str"><x:v>Registro de contratos formalizados</x:v></x:c><x:c r="F33" s="16" t="str"><x:v>Formalización por exclusividad, importe y adjudicatario</x:v></x:c><x:c r="G33" s="16" t="str"><x:v>Primaria</x:v></x:c><x:c r="H33" s="17" t="n"><x:v>46246</x:v></x:c><x:c r="I33" s="21" t="str"><x:v>https://transparencia.turismodeislascanarias.com/sites/default/files/documents/Contratos_Formalizados_PROMOTUR.pdf</x:v></x:c><x:c r="J33" s="21" t="str"><x:v>Abrir fuente</x:v></x:c></x:row><x:row r="34" ht="15" hidden="0" customHeight="1"><x:c r="A34" s="16" t="str"><x:v>F-029</x:v></x:c><x:c r="B34" s="16" t="str"><x:v>C-09</x:v></x:c><x:c r="C34" s="16" t="str"><x:v>Contrato</x:v></x:c><x:c r="D34" s="16" t="str"><x:v>PLACSP</x:v></x:c><x:c r="E34" s="16" t="str"><x:v>Expediente eAJ-0054/2025</x:v></x:c><x:c r="F34" s="16" t="str"><x:v>Datos del patrocinio</x:v></x:c><x:c r="G34" s="16" t="str"><x:v>Primaria</x:v></x:c><x:c r="H34" s="17" t="n"><x:v>46246</x:v></x:c><x:c r="I34" s="21" t="str"><x:v>https://contrataciondelestado.es/wps/poc?uri=deeplink:detalle_licitacion&amp;idEvl=7pSzW7VkXiYS7pcxhTeWOg%3D%3D</x:v></x:c><x:c r="J34" s="21" t="str"><x:v>Abrir fuente</x:v></x:c></x:row><x:row r="35" ht="15" hidden="0" customHeight="1"><x:c r="A35" s="16" t="str"><x:v>F-030</x:v></x:c><x:c r="B35" s="16" t="str"><x:v>C-10</x:v></x:c><x:c r="C35" s="16" t="str"><x:v>Contrato</x:v></x:c><x:c r="D35" s="16" t="str"><x:v>PLACSP</x:v></x:c><x:c r="E35" s="16" t="str"><x:v>Expediente P22/25</x:v></x:c><x:c r="F35" s="16" t="str"><x:v>Patrocinio concedido en marzo de 2025</x:v></x:c><x:c r="G35" s="16" t="str"><x:v>Primaria</x:v></x:c><x:c r="H35" s="17" t="n"><x:v>46246</x:v></x:c><x:c r="I35" s="21" t="str"><x:v>https://contrataciondelestado.es/wps/poc?uri=deeplink:detalle_licitacion&amp;idEvl=Y5DwEEep%2FEyFQ%2FlhRK79lA%3D%3D</x:v></x:c><x:c r="J35" s="21" t="str"><x:v>Abrir fuente</x:v></x:c></x:row><x:row r="36" ht="15" hidden="0" customHeight="1"><x:c r="A36" s="16" t="str"><x:v>F-031</x:v></x:c><x:c r="B36" s="16" t="str"><x:v>C-10</x:v></x:c><x:c r="C36" s="16" t="str"><x:v>Cronología política</x:v></x:c><x:c r="D36" s="16" t="str"><x:v>Diario Oficial de Extremadura</x:v></x:c><x:c r="E36" s="16" t="str"><x:v>Constitución de la Asamblea 2026</x:v></x:c><x:c r="F36" s="16" t="str"><x:v>Prueba que entra en política después del patrocinio</x:v></x:c><x:c r="G36" s="16" t="str"><x:v>Primaria</x:v></x:c><x:c r="H36" s="17" t="n"><x:v>46246</x:v></x:c><x:c r="I36" s="21" t="str"><x:v>https://doe.juntaex.es/pdfs/doe/2026/80o/26AC0001.pdf</x:v></x:c><x:c r="J36" s="21" t="str"><x:v>Abrir fuente</x:v></x:c></x:row><x:row r="37" ht="15" hidden="0" customHeight="1"><x:c r="A37" s="16" t="str"><x:v>F-032</x:v></x:c><x:c r="B37" s="16" t="str"><x:v>C-10</x:v></x:c><x:c r="C37" s="16" t="str"><x:v>Cronología política</x:v></x:c><x:c r="D37" s="16" t="str"><x:v>Agencia EFE</x:v></x:c><x:c r="E37" s="16" t="str"><x:v>Perfil de noviembre de 2025</x:v></x:c><x:c r="F37" s="16" t="str"><x:v>Describe el inicio de su carrera política</x:v></x:c><x:c r="G37" s="16" t="str"><x:v>Secundaria</x:v></x:c><x:c r="H37" s="17" t="n"><x:v>46246</x:v></x:c><x:c r="I37" s="21" t="str"><x:v>https://efe.com/deportes/2025-11-25/paralimpico-kini-carrasco-elecciones-extremenas/</x:v></x:c><x:c r="J37" s="21" t="str"><x:v>Abrir fuente</x:v></x:c></x:row><x:row r="38" ht="15" hidden="0" customHeight="1"><x:c r="A38" s="16" t="str"><x:v>F-033</x:v></x:c><x:c r="B38" s="16" t="str"><x:v>C-10</x:v></x:c><x:c r="C38" s="16" t="str"><x:v>Histórico</x:v></x:c><x:c r="D38" s="16" t="str"><x:v>Fundación Jóvenes y Deporte</x:v></x:c><x:c r="E38" s="16" t="str"><x:v>Memoria de actividades 2023</x:v></x:c><x:c r="F38" s="16" t="str"><x:v>Muestra patrocinios deportivos previos a la política</x:v></x:c><x:c r="G38" s="16" t="str"><x:v>Primaria</x:v></x:c><x:c r="H38" s="17" t="n"><x:v>46246</x:v></x:c><x:c r="I38" s="21" t="str"><x:v>https://www.fundacionjd.com/wp-content/uploads/2024/04/MEMORIA-DE-ACTIVIDADES-FJYD-2023.pdf</x:v></x:c><x:c r="J38" s="21" t="str"><x:v>Abrir fuente</x:v></x:c></x:row><x:row r="39" ht="15" hidden="0" customHeight="1"><x:c r="A39" s="16" t="str"><x:v>F-034</x:v></x:c><x:c r="B39" s="16" t="str"><x:v>C-10</x:v></x:c><x:c r="C39" s="16" t="str"><x:v>Cargo actual</x:v></x:c><x:c r="D39" s="16" t="str"><x:v>Asamblea de Extremadura</x:v></x:c><x:c r="E39" s="16" t="str"><x:v>Ficha de diputado</x:v></x:c><x:c r="F39" s="16" t="str"><x:v>Confirma cargo actual, no cargo en marzo de 2025</x:v></x:c><x:c r="G39" s="16" t="str"><x:v>Primaria</x:v></x:c><x:c r="H39" s="17" t="n"><x:v>46246</x:v></x:c><x:c r="I39" s="21" t="str"><x:v>https://www.asambleaex.es/verdiputado-451</x:v></x:c><x:c r="J39" s="21" t="str"><x:v>Abrir fuente</x:v></x:c></x:row><x:row r="40" ht="15" hidden="0" customHeight="1"><x:c r="A40" s="16" t="str"><x:v>F-035</x:v></x:c><x:c r="B40" s="16" t="str"><x:v>C-11</x:v></x:c><x:c r="C40" s="16" t="str"><x:v>Contrato</x:v></x:c><x:c r="D40" s="16" t="str"><x:v>PLACSP</x:v></x:c><x:c r="E40" s="16" t="str"><x:v>Expediente CP-OTROS/1/2022</x:v></x:c><x:c r="F40" s="16" t="str"><x:v>Adjudicación anterior al cargo y 42 ofertas</x:v></x:c><x:c r="G40" s="16" t="str"><x:v>Primaria</x:v></x:c><x:c r="H40" s="17" t="n"><x:v>46246</x:v></x:c><x:c r="I40" s="21" t="str"><x:v>https://contrataciondelestado.es/wps/poc?uri=deeplink:detalle_licitacion&amp;idEvl=BDZ88lsFjCx7h85%2Fpmmsfw%3D%3D</x:v></x:c><x:c r="J40" s="21" t="str"><x:v>Abrir fuente</x:v></x:c></x:row><x:row r="41" ht="15" hidden="0" customHeight="1"><x:c r="A41" s="16" t="str"><x:v>F-036</x:v></x:c><x:c r="B41" s="16" t="str"><x:v>S-01</x:v></x:c><x:c r="C41" s="16" t="str"><x:v>Planificación</x:v></x:c><x:c r="D41" s="16" t="str"><x:v>Gobierno de Castilla-La Mancha</x:v></x:c><x:c r="E41" s="16" t="str"><x:v>Autorización del concurso quinquenal</x:v></x:c><x:c r="F41" s="16" t="str"><x:v>Contrato previsto por 540,5 millones de euros</x:v></x:c><x:c r="G41" s="16" t="str"><x:v>Primaria</x:v></x:c><x:c r="H41" s="17" t="n"><x:v>46246</x:v></x:c><x:c r="I41" s="21" t="str"><x:v>https://contrataciondelestado.es/wps/poc?uri=deeplink:detalle_licitacion&amp;idEvl=%2Bj7vWwdYL9CFQ%2FlhRK79lA%3D%3D</x:v></x:c><x:c r="J41" s="21" t="str"><x:v>Abrir fuente</x:v></x:c></x:row><x:row r="42" ht="21.600000381469727" hidden="0" customHeight="1"><x:c r="A42" s="16" t="str"><x:v>F-037</x:v></x:c><x:c r="B42" s="16" t="str"><x:v>S-01</x:v></x:c><x:c r="C42" s="16" t="str"><x:v>Recurso</x:v></x:c><x:c r="D42" s="16" t="str"><x:v>Tribunal Administrativo Central de Recursos Contractuales</x:v></x:c><x:c r="E42" s="16" t="str"><x:v>Resolución 684/2025</x:v></x:c><x:c r="F42" s="16" t="str"><x:v>Documenta el recurso que afectó a la licitación</x:v></x:c><x:c r="G42" s="16" t="str"><x:v>Primaria</x:v></x:c><x:c r="H42" s="17" t="n"><x:v>46246</x:v></x:c><x:c r="I42" s="21" t="str"><x:v>https://www.hacienda.gob.es/TACRC/Resoluciones/A%C3%B1o%202025/Recurso%200281-2025%20CLM%2024-2025%20%28Res%20684%29%2008-05-2025.pdf</x:v></x:c><x:c r="J42" s="21" t="str"><x:v>Abrir fuente</x:v></x:c></x:row><x:row r="43" ht="15" hidden="0" customHeight="1"><x:c r="A43" s="16" t="str"><x:v>F-038</x:v></x:c><x:c r="B43" s="16" t="str"><x:v>S-01</x:v></x:c><x:c r="C43" s="16" t="str"><x:v>Contrato puente</x:v></x:c><x:c r="D43" s="16" t="str"><x:v>PLACSP</x:v></x:c><x:c r="E43" s="16" t="str"><x:v>Ciudad Real, primera ronda</x:v></x:c><x:c r="F43" s="16" t="str"><x:v>Confirma duración de dos meses</x:v></x:c><x:c r="G43" s="16" t="str"><x:v>Primaria</x:v></x:c><x:c r="H43" s="17" t="n"><x:v>46246</x:v></x:c><x:c r="I43" s="21" t="str"><x:v>https://contrataciondelestado.es/FileSystem/servlet/GetDocumentByIdServlet?DocumentIdParam=5MSS43bEJMPax05CaleOvChq5UNNwNIlgYOuFXtW4vFhRTg18j3yC8byHybeDERpv6ge8uWCQR%2BEhTu9u3CI%2FlaHrXAdCJdOn%2Bmp%2Bzp8PFjVTD3T98KC0nSgQFM0q%2B5s&amp;cifrado=QUC1GjXXSiLkydRHJBmbpw%3D%3D</x:v></x:c><x:c r="J43" s="21" t="str"><x:v>Abrir fuente</x:v></x:c></x:row><x:row r="44" ht="15" hidden="0" customHeight="1"><x:c r="A44" s="16" t="str"><x:v>F-039</x:v></x:c><x:c r="B44" s="16" t="str"><x:v>S-01</x:v></x:c><x:c r="C44" s="16" t="str"><x:v>Contrato puente</x:v></x:c><x:c r="D44" s="16" t="str"><x:v>PLACSP</x:v></x:c><x:c r="E44" s="16" t="str"><x:v>Toledo, segunda ronda</x:v></x:c><x:c r="F44" s="16" t="str"><x:v>Confirma otra duración de dos meses</x:v></x:c><x:c r="G44" s="16" t="str"><x:v>Primaria</x:v></x:c><x:c r="H44" s="17" t="n"><x:v>46246</x:v></x:c><x:c r="I44" s="21" t="str"><x:v>https://contrataciondelestado.es/FileSystem/servlet/GetDocumentByIdServlet?DocumentIdParam=vCkHh17q%2F7o%2FZF9sQ6wEDGj4FwsAcZ6%2B8sMBpUDbZEgwBty%2FSYWp%2BdBjf%2BLitjl4g0s5LynS4Y8hllNlcWWFOCQ8h9PseRt3aTfcVaVdk%2FoZyAJWGsSt0OzTSTyw9JAs&amp;cifrado=QUC1GjXXSiLkydRHJBmbpw%3D%3D</x:v></x:c><x:c r="J44" s="21" t="str"><x:v>Abrir fuente</x:v></x:c></x:row><x:row r="45" ht="15" hidden="0" customHeight="1"><x:c r="A45" s="16" t="str"><x:v>F-040</x:v></x:c><x:c r="B45" s="16" t="str"><x:v>S-01</x:v></x:c><x:c r="C45" s="16" t="str"><x:v>Resolución posterior</x:v></x:c><x:c r="D45" s="16" t="str"><x:v>Servicio de Salud de Castilla-La Mancha</x:v></x:c><x:c r="E45" s="16" t="str"><x:v>Inicio del nuevo contrato</x:v></x:c><x:c r="F45" s="16" t="str"><x:v>Confirma que el contrato ordinario sustituyó los puentes</x:v></x:c><x:c r="G45" s="16" t="str"><x:v>Primaria</x:v></x:c><x:c r="H45" s="17" t="n"><x:v>46246</x:v></x:c><x:c r="I45" s="21" t="str"><x:v>https://sanidad.castillalamancha.es/saladeprensa/notas-de-prensa/el-nuevo-contrato-de-transporte-sanitario-terrestre-aporta-en</x:v></x:c><x:c r="J45" s="21" t="str"><x:v>Abrir fuente</x:v></x:c></x:row><x:row r="46" ht="15" hidden="0" customHeight="1"><x:c r="A46" s="16" t="str"><x:v>F-041</x:v></x:c><x:c r="B46" s="16" t="str"><x:v>S-02</x:v></x:c><x:c r="C46" s="16" t="str"><x:v>Acuerdo marco</x:v></x:c><x:c r="D46" s="16" t="str"><x:v>Compra Centralizada de Aragón</x:v></x:c><x:c r="E46" s="16" t="str"><x:v>Catálogo de vigilancia y seguridad</x:v></x:c><x:c r="F46" s="16" t="str"><x:v>Confirma vigencia, lotes y proveedores homologados</x:v></x:c><x:c r="G46" s="16" t="str"><x:v>Primaria</x:v></x:c><x:c r="H46" s="17" t="n"><x:v>46246</x:v></x:c><x:c r="I46" s="21" t="str"><x:v>https://compracentralizada.aragon.es/catalogo-servicios-index/vigilancia-y-seguridad.html</x:v></x:c><x:c r="J46" s="21" t="str"><x:v>Abrir fuente</x:v></x:c></x:row><x:row r="47" ht="15" hidden="0" customHeight="1"><x:c r="A47" s="16" t="str"><x:v>F-042</x:v></x:c><x:c r="B47" s="16" t="str"><x:v>S-02</x:v></x:c><x:c r="C47" s="16" t="str"><x:v>Competencia</x:v></x:c><x:c r="D47" s="16" t="str"><x:v>Gobierno de Aragón</x:v></x:c><x:c r="E47" s="16" t="str"><x:v>Orden de adjudicación del acuerdo marco</x:v></x:c><x:c r="F47" s="16" t="str"><x:v>Seis empresas puntuadas; COVIAR primera en lote 2</x:v></x:c><x:c r="G47" s="16" t="str"><x:v>Primaria</x:v></x:c><x:c r="H47" s="17" t="n"><x:v>46246</x:v></x:c><x:c r="I47" s="21" t="str"><x:v>https://compracentralizada.aragon.es/media/catalog/category/16._Orden_adjudicacion_HAP_SCC_2024_20.pdf</x:v></x:c><x:c r="J47" s="21" t="str"><x:v>Abrir fuente</x:v></x:c></x:row><x:row r="48" ht="15" hidden="0" customHeight="1"><x:c r="A48" s="16" t="str"><x:v>F-043</x:v></x:c><x:c r="B48" s="16" t="str"><x:v>S-02</x:v></x:c><x:c r="C48" s="16" t="str"><x:v>Contrato derivado</x:v></x:c><x:c r="D48" s="16" t="str"><x:v>PLACSP</x:v></x:c><x:c r="E48" s="16" t="str"><x:v>Resumen de valoración ECD-2025-20221</x:v></x:c><x:c r="F48" s="16" t="str"><x:v>Muestra una única oferta COVIAR dentro del contrato derivado</x:v></x:c><x:c r="G48" s="16" t="str"><x:v>Primaria</x:v></x:c><x:c r="H48" s="17" t="n"><x:v>46246</x:v></x:c><x:c r="I48" s="21" t="str"><x:v>https://contrataciondelestado.es/FileSystem/servlet/GetDocumentByIdServlet?DocumentIdParam=i5fMyZP70%2BN3EBlzekETX3MmwwvXogsH1iIuHWKGrQ%2Bu7PIiQywAO07gJDPDRWOdC3KLqZOqU9xnUW%2Bvq%2B8zp0ZxGbi3fB9x4mJO1iZ7IKWHAj0WEJrB5sP7amrh2jBD&amp;cifrado=QUC1GjXXSiLkydRHJBmbpw%3D%3D</x:v></x:c><x:c r="J48" s="21" t="str"><x:v>Abrir fuente</x:v></x:c></x:row><x:row r="49" ht="15" hidden="0" customHeight="1"><x:c r="A49" s="16" t="str"><x:v>F-044</x:v></x:c><x:c r="B49" s="16" t="str"><x:v>S-03</x:v></x:c><x:c r="C49" s="16" t="str"><x:v>Registro contractual</x:v></x:c><x:c r="D49" s="16" t="str"><x:v>Promotur Turismo Canarias</x:v></x:c><x:c r="E49" s="16" t="str"><x:v>Contratos formalizados</x:v></x:c><x:c r="F49" s="16" t="str"><x:v>Etiqueta los patrocinios como negociados sin publicidad por exclusividad</x:v></x:c><x:c r="G49" s="16" t="str"><x:v>Primaria</x:v></x:c><x:c r="H49" s="17" t="n"><x:v>46246</x:v></x:c><x:c r="I49" s="21" t="str"><x:v>https://transparencia.turismodeislascanarias.com/sites/default/files/documents/Contratos_Formalizados_PROMOTUR.pdf</x:v></x:c><x:c r="J49" s="21" t="str"><x:v>Abrir fuente</x:v></x:c></x:row><x:row r="50" ht="15" hidden="0" customHeight="1"><x:c r="A50" s="16" t="str"><x:v>F-045</x:v></x:c><x:c r="B50" s="16" t="str"><x:v>S-03</x:v></x:c><x:c r="C50" s="16" t="str"><x:v>Contrato</x:v></x:c><x:c r="D50" s="16" t="str"><x:v>Promotur Turismo Canarias</x:v></x:c><x:c r="E50" s="16" t="str"><x:v>Farra Events, Las Rocas Festival</x:v></x:c><x:c r="F50" s="16" t="str"><x:v>Ejemplo de formalización y pluralidad de criterios</x:v></x:c><x:c r="G50" s="16" t="str"><x:v>Primaria</x:v></x:c><x:c r="H50" s="17" t="n"><x:v>46246</x:v></x:c><x:c r="I50" s="21" t="str"><x:v>https://licitacion.turismodeislascanarias.com/licitacion/fichaExpte.do?idExpediente=3306&amp;nivel=3</x:v></x:c><x:c r="J50" s="21" t="str"><x:v>Abrir fuente</x:v></x:c></x:row><x:row r="51" ht="15" hidden="0" customHeight="1"><x:c r="A51" s="16" t="str"><x:v>F-046</x:v></x:c><x:c r="B51" s="16" t="str"><x:v>S-03</x:v></x:c><x:c r="C51" s="16" t="str"><x:v>Contrato</x:v></x:c><x:c r="D51" s="16" t="str"><x:v>Promotur Turismo Canarias</x:v></x:c><x:c r="E51" s="16" t="str"><x:v>World Live Music, Tenerife Music Festival</x:v></x:c><x:c r="F51" s="16" t="str"><x:v>Ejemplo de formalización por exclusividad</x:v></x:c><x:c r="G51" s="16" t="str"><x:v>Primaria</x:v></x:c><x:c r="H51" s="17" t="n"><x:v>46246</x:v></x:c><x:c r="I51" s="21" t="str"><x:v>https://licitacion.turismodeislascanarias.com/licitacion/descargaAdjuntoPub?idAdjunto=53710</x:v></x:c><x:c r="J51" s="21" t="str"><x:v>Abrir fuente</x:v></x:c></x:row><x:row r="52" ht="15" hidden="0" customHeight="1"><x:c r="A52" s="16" t="str"><x:v>F-047</x:v></x:c><x:c r="B52" s="16" t="str"><x:v>S-04</x:v></x:c><x:c r="C52" s="16" t="str"><x:v>Contrato</x:v></x:c><x:c r="D52" s="16" t="str"><x:v>PLACSP</x:v></x:c><x:c r="E52" s="16" t="str"><x:v>En La Línea Música</x:v></x:c><x:c r="F52" s="16" t="str"><x:v>Expediente representativo del clúster Cádiz / Grupo Concert Tour</x:v></x:c><x:c r="G52" s="16" t="str"><x:v>Primaria</x:v></x:c><x:c r="H52" s="17" t="n"><x:v>46246</x:v></x:c><x:c r="I52" s="21" t="str"><x:v>https://contrataciondelestado.es/wps/poc?uri=deeplink:detalle_licitacion&amp;idEvl=crmtJnVJo3Y3vLk2DU2Ddg%3D%3D</x:v></x:c><x:c r="J52" s="21" t="str"><x:v>Abrir fuente</x:v></x:c></x:row><x:row r="53" ht="15" hidden="0" customHeight="1"><x:c r="A53" s="16" t="str"><x:v>F-048</x:v></x:c><x:c r="B53" s="16" t="str"><x:v>C-01</x:v></x:c><x:c r="C53" s="16" t="str"><x:v>Adjudicación</x:v></x:c><x:c r="D53" s="16" t="str"><x:v>PLACSP</x:v></x:c><x:c r="E53" s="16" t="str"><x:v>Anuncio de adjudicación del expediente 1/2025</x:v></x:c><x:c r="F53" s="16" t="str"><x:v>Acredita fecha, canon, única oferta, criterio y publicación posterior</x:v></x:c><x:c r="G53" s="16" t="str"><x:v>Primaria</x:v></x:c><x:c r="H53" s="17" t="n"><x:v>46246</x:v></x:c><x:c r="I53" s="21" t="str"><x:v>https://contrataciondelestado.es/FileSystem/servlet/GetDocumentByIdServlet?cifrado=QUC1GjXXSiLkydRHJBmbpw%3D%3D&amp;DocumentIdParam=EeamlVECv5qc1yJbBgdLuamDXRpFm9GxYhufDva3wSvpbrPUMkU/aiNDc1xoHTCm0bKf2WXUHd0TyEklzRSfi5wo%2BlOw7i0CrrzsBlooMjwC1/zDIE0Kw/PWNnLS0Z0z</x:v></x:c><x:c r="J53" s="21" t="str"><x:v>Abrir fuente</x:v></x:c></x:row><x:row r="54" ht="15" hidden="0" customHeight="1"><x:c r="A54" s="16" t="str"><x:v>F-049</x:v></x:c><x:c r="B54" s="16" t="str"><x:v>C-01</x:v></x:c><x:c r="C54" s="16" t="str"><x:v>Formalización</x:v></x:c><x:c r="D54" s="16" t="str"><x:v>PLACSP</x:v></x:c><x:c r="E54" s="16" t="str"><x:v>Anuncio de formalización del expediente 1/2025</x:v></x:c><x:c r="F54" s="16" t="str"><x:v>Acredita formalización el 28/12/2024 y duración hasta 27/12/2028</x:v></x:c><x:c r="G54" s="16" t="str"><x:v>Primaria</x:v></x:c><x:c r="H54" s="17" t="n"><x:v>46246</x:v></x:c><x:c r="I54" s="21" t="str"><x:v>https://contrataciondelestado.es/FileSystem/servlet/GetDocumentByIdServlet?cifrado=QUC1GjXXSiLkydRHJBmbpw%3D%3D&amp;DocumentIdParam=CtmmTA%2BJf8wvXVWdivSQZOWxfXKNFKFBwGqwJENjkzu7jgrysIa6RcTQ6TMEDIQmJfIemQ1w%2BQtLkuBU7p/IxL7W6qVwvycxcoDDLwmRCSIZyAJWGsSt0OzTSTyw9JAs</x:v></x:c><x:c r="J54" s="21" t="str"><x:v>Abrir fuente</x:v></x:c></x:row><x:row r="55" ht="15" hidden="0" customHeight="1"><x:c r="A55" s="16" t="str"><x:v>F-050</x:v></x:c><x:c r="B55" s="16" t="str"><x:v>C-02</x:v></x:c><x:c r="C55" s="16" t="str"><x:v>Valoración</x:v></x:c><x:c r="D55" s="16" t="str"><x:v>PLACSP</x:v></x:c><x:c r="E55" s="16" t="str"><x:v>Acta firmada de la mesa</x:v></x:c><x:c r="F55" s="16" t="str"><x:v>Acredita evaluadores y puntuaciones 56,38; 87,25 y 92,29</x:v></x:c><x:c r="G55" s="16" t="str"><x:v>Primaria</x:v></x:c><x:c r="H55" s="17" t="n"><x:v>46246</x:v></x:c><x:c r="I55" s="21" t="str"><x:v>https://contrataciondelestado.es/wps/wcm/connect/PLACE_es/Site/area/docAccCmpnt?srv=cmpnt&amp;cmpntname=GetDocumentsById&amp;source=library&amp;DocumentIdParam=2025-29aaa8d7-4026-4df6-a5a4-2fcb8ed49dd2</x:v></x:c><x:c r="J55" s="21" t="str"><x:v>Abrir fuente</x:v></x:c></x:row><x:row r="56" ht="15" hidden="0" customHeight="1"><x:c r="A56" s="16" t="str"><x:v>F-051</x:v></x:c><x:c r="B56" s="16" t="str"><x:v>C-02</x:v></x:c><x:c r="C56" s="16" t="str"><x:v>Tramitación</x:v></x:c><x:c r="D56" s="16" t="str"><x:v>PLACSP</x:v></x:c><x:c r="E56" s="16" t="str"><x:v>Inicio, aprobación y composición de mesa</x:v></x:c><x:c r="F56" s="16" t="str"><x:v>Acredita la composición del órgano evaluador</x:v></x:c><x:c r="G56" s="16" t="str"><x:v>Primaria</x:v></x:c><x:c r="H56" s="17" t="n"><x:v>46246</x:v></x:c><x:c r="I56" s="21" t="str"><x:v>https://contrataciondelestado.es/wps/wcm/connect/PLACE_es/Site/area/docAccCmpnt?srv=cmpnt&amp;cmpntname=GetDocumentsById&amp;source=library&amp;DocumentIdParam=2025-7f7c48ec-6d0f-43f4-a34b-2900103265aa</x:v></x:c><x:c r="J56" s="21" t="str"><x:v>Abrir fuente</x:v></x:c></x:row><x:row r="57" ht="21.600000381469727" hidden="0" customHeight="1"><x:c r="A57" s="16" t="str"><x:v>F-052</x:v></x:c><x:c r="B57" s="16" t="str"><x:v>C-03</x:v></x:c><x:c r="C57" s="16" t="str"><x:v>Cargo comarcal</x:v></x:c><x:c r="D57" s="16" t="str"><x:v>Comarca Gúdar-Javalambre</x:v></x:c><x:c r="E57" s="16" t="str"><x:v>Comisiones y representantes</x:v></x:c><x:c r="F57" s="16" t="str"><x:v>Acredita vicepresidencia de Medio Ambiente y presidencias de servicios comarcales</x:v></x:c><x:c r="G57" s="16" t="str"><x:v>Primaria</x:v></x:c><x:c r="H57" s="17" t="n"><x:v>46246</x:v></x:c><x:c r="I57" s="21" t="str"><x:v>https://gudarjavalambre.es/index.php?Itemid=30&amp;catid=9&amp;edit_base=true&amp;id=17%3Acomisiones-y-representantes&amp;option=com_content&amp;view=article</x:v></x:c><x:c r="J57" s="21" t="str"><x:v>Abrir fuente</x:v></x:c></x:row><x:row r="58" ht="21.600000381469727" hidden="0" customHeight="1"><x:c r="A58" s="16" t="str"><x:v>F-053</x:v></x:c><x:c r="B58" s="16" t="str"><x:v>C-04</x:v></x:c><x:c r="C58" s="16" t="str"><x:v>Memoria</x:v></x:c><x:c r="D58" s="16" t="str"><x:v>PLACSP</x:v></x:c><x:c r="E58" s="16" t="str"><x:v>Memoria justificativa del expediente 65/2025</x:v></x:c><x:c r="F58" s="16" t="str"><x:v>Acredita singularidad de la finca, datos registrales y referencia a valoración técnica</x:v></x:c><x:c r="G58" s="16" t="str"><x:v>Primaria</x:v></x:c><x:c r="H58" s="17" t="n"><x:v>46246</x:v></x:c><x:c r="I58" s="21" t="str"><x:v>https://contrataciondelestado.es/wps/wcm/connect/PLACE_es/Site/area/docAccCmpnt?srv=cmpnt&amp;cmpntname=GetDocumentsById&amp;source=library&amp;DocumentIdParam=2025-3cc5af66-84c9-4695-8114-22c266a43b9d</x:v></x:c><x:c r="J58" s="21" t="str"><x:v>Abrir fuente</x:v></x:c></x:row><x:row r="59" ht="15" hidden="0" customHeight="1"><x:c r="A59" s="16" t="str"><x:v>F-054</x:v></x:c><x:c r="B59" s="16" t="str"><x:v>C-04</x:v></x:c><x:c r="C59" s="16" t="str"><x:v>Propuesta técnica</x:v></x:c><x:c r="D59" s="16" t="str"><x:v>PLACSP</x:v></x:c><x:c r="E59" s="16" t="str"><x:v>Propuesta de adquisición</x:v></x:c><x:c r="F59" s="16" t="str"><x:v>Acredita valoración referenciada y propuesta de compra por 17.500 euros</x:v></x:c><x:c r="G59" s="16" t="str"><x:v>Primaria</x:v></x:c><x:c r="H59" s="17" t="n"><x:v>46246</x:v></x:c><x:c r="I59" s="21" t="str"><x:v>https://contrataciondelestado.es/wps/wcm/connect/PLACE_es/Site/area/docAccCmpnt?srv=cmpnt&amp;cmpntname=GetDocumentsById&amp;source=library&amp;DocumentIdParam=2025-38199471-ec6a-46ca-9bd6-8a46619bf01a</x:v></x:c><x:c r="J59" s="21" t="str"><x:v>Abrir fuente</x:v></x:c></x:row><x:row r="60" ht="15" hidden="0" customHeight="1"><x:c r="A60" s="16" t="str"><x:v>F-055</x:v></x:c><x:c r="B60" s="16" t="str"><x:v>C-04</x:v></x:c><x:c r="C60" s="16" t="str"><x:v>Composición</x:v></x:c><x:c r="D60" s="16" t="str"><x:v>Comarca del Matarraña-Matarranya</x:v></x:c><x:c r="E60" s="16" t="str"><x:v>Consejo comarcal publicado</x:v></x:c><x:c r="F60" s="16" t="str"><x:v>No incluye a la vendedora entre los consejeros titulares publicados</x:v></x:c><x:c r="G60" s="16" t="str"><x:v>Primaria</x:v></x:c><x:c r="H60" s="17" t="n"><x:v>46246</x:v></x:c><x:c r="I60" s="21" t="str"><x:v>https://www.comarcamatarranya.es/es/p/consejo-comarcal</x:v></x:c><x:c r="J60" s="21" t="str"><x:v>Abrir fuente</x:v></x:c></x:row><x:row r="61" ht="15" hidden="0" customHeight="1"><x:c r="A61" s="16" t="str"><x:v>F-056</x:v></x:c><x:c r="B61" s="16" t="str"><x:v>C-05</x:v></x:c><x:c r="C61" s="16" t="str"><x:v>Adjudicación</x:v></x:c><x:c r="D61" s="16" t="str"><x:v>PLACSP</x:v></x:c><x:c r="E61" s="16" t="str"><x:v>Anuncio del expediente 143/2025</x:v></x:c><x:c r="F61" s="16" t="str"><x:v>Acredita una oferta, adjudicación y procedimiento negociado</x:v></x:c><x:c r="G61" s="16" t="str"><x:v>Primaria</x:v></x:c><x:c r="H61" s="17" t="n"><x:v>46246</x:v></x:c><x:c r="I61" s="21" t="str"><x:v>https://contrataciondelestado.es/FileSystem/servlet/GetDocumentByIdServlet?cifrado=QUC1GjXXSiLkydRHJBmbpw%3D%3D&amp;DocumentIdParam=sM3Lwe4JtdV6pQzf7QAsikgqi5htj8EfSLDx9UK5Lq8aQYK01SrelACUrgRZ7vlF7QiK8VHksmpmu7mefhJFM98c%2BvhC5uEjUD0BJjRVLhtt/o8fNevwsujgRzaBbugn</x:v></x:c><x:c r="J61" s="21" t="str"><x:v>Abrir fuente</x:v></x:c></x:row><x:row r="62" ht="21.600000381469727" hidden="0" customHeight="1"><x:c r="A62" s="16" t="str"><x:v>F-057</x:v></x:c><x:c r="B62" s="16" t="str"><x:v>C-05</x:v></x:c><x:c r="C62" s="16" t="str"><x:v>Formalización</x:v></x:c><x:c r="D62" s="16" t="str"><x:v>PLACSP</x:v></x:c><x:c r="E62" s="16" t="str"><x:v>Anuncio del expediente 143/2025</x:v></x:c><x:c r="F62" s="16" t="str"><x:v>Acredita que se previeron tres operadores y se recibió una oferta; invoca fallo de PLACSP</x:v></x:c><x:c r="G62" s="16" t="str"><x:v>Primaria</x:v></x:c><x:c r="H62" s="17" t="n"><x:v>46246</x:v></x:c><x:c r="I62" s="21" t="str"><x:v>https://contrataciondelestado.es/FileSystem/servlet/GetDocumentByIdServlet?cifrado=QUC1GjXXSiLkydRHJBmbpw%3D%3D&amp;DocumentIdParam=J33M70ZEhmguFUNI/XRGNyYHljnv7mv4nKNhbogDsNZY2OUIiDUOIbPaYL3dKFnkrEGSFJ1YEo24lijtsRbgwOTGY5VKQLrSHosN0fkMjX17QB3HKyQaFUExmUVQCerk</x:v></x:c><x:c r="J62" s="21" t="str"><x:v>Abrir fuente</x:v></x:c></x:row><x:row r="63" ht="15" hidden="0" customHeight="1"><x:c r="A63" s="16" t="str"><x:v>F-058</x:v></x:c><x:c r="B63" s="16" t="str"><x:v>S-01</x:v></x:c><x:c r="C63" s="16" t="str"><x:v>Licitación ordinaria</x:v></x:c><x:c r="D63" s="16" t="str"><x:v>PLACSP</x:v></x:c><x:c r="E63" s="16" t="str"><x:v>Anuncio del contrato de transporte sanitario</x:v></x:c><x:c r="F63" s="16" t="str"><x:v>Acredita procedimiento abierto, cinco lotes, cinco años y 540.525.540,05 euros</x:v></x:c><x:c r="G63" s="16" t="str"><x:v>Primaria</x:v></x:c><x:c r="H63" s="17" t="n"><x:v>46246</x:v></x:c><x:c r="I63" s="21" t="str"><x:v>https://contrataciondelestado.es/FileSystem/servlet/GetDocumentByIdServlet?DocumentIdParam=A1DGXSDSlxreqoUsgmLhTnAuo1YLvWRMkpj8592hUjZYrKKGwJ3LMuHK8dhtVnd0LyoCDTwuYfyuG8UffTbn70sp8lFmdsOOs%2F7HEw07%2BSV7QB3HKyQaFUExmUVQCerk&amp;cifrado=QUC1GjXXSiLkydRHJBmbpw%3D%3D</x:v></x:c><x:c r="J63" s="21" t="str"><x:v>Abrir fuente</x:v></x:c></x:row><x:row r="64" ht="21.600000381469727" hidden="0" customHeight="1"><x:c r="A64" s="16" t="str"><x:v>F-059</x:v></x:c><x:c r="B64" s="16" t="str"><x:v>S-01</x:v></x:c><x:c r="C64" s="16" t="str"><x:v>Contrato puente</x:v></x:c><x:c r="D64" s="16" t="str"><x:v>PLACSP</x:v></x:c><x:c r="E64" s="16" t="str"><x:v>Toledo 2025_3, expediente 2025/010492</x:v></x:c><x:c r="F64" s="16" t="str"><x:v>Acredita dos meses, una oferta, negociado sin publicidad y adjudicación por 4.310.538,32 euros</x:v></x:c><x:c r="G64" s="16" t="str"><x:v>Primaria</x:v></x:c><x:c r="H64" s="17" t="n"><x:v>46246</x:v></x:c><x:c r="I64" s="21" t="str"><x:v>https://contrataciondelestado.es/wps/poc?uri=deeplink:detalle_licitacion&amp;idEvl=%2Bj7vWwdYL9CFQ%2FlhRK79lA%3D%3D</x:v></x:c><x:c r="J64" s="21" t="str"><x:v>Abrir fuente</x:v></x:c></x:row><x:row r="65" ht="15" hidden="0" customHeight="1"><x:c r="A65" s="16" t="str"><x:v>F-060</x:v></x:c><x:c r="B65" s="16" t="str"><x:v>S-01</x:v></x:c><x:c r="C65" s="16" t="str"><x:v>Contrato puente</x:v></x:c><x:c r="D65" s="16" t="str"><x:v>PLACSP</x:v></x:c><x:c r="E65" s="16" t="str"><x:v>Toledo 2026_1</x:v></x:c><x:c r="F65" s="16" t="str"><x:v>Acredita continuidad de la contratación puente en 2026</x:v></x:c><x:c r="G65" s="16" t="str"><x:v>Primaria</x:v></x:c><x:c r="H65" s="17" t="n"><x:v>46246</x:v></x:c><x:c r="I65" s="21" t="str"><x:v>https://contrataciondelestado.es/wps/poc?uri=deeplink:detalle_licitacion&amp;idEvl=xQ5VVsO5XIrXOjazN1Dw9Q%3D%3D</x:v></x:c><x:c r="J65" s="21" t="str"><x:v>Abrir fuente</x:v></x:c></x:row><x:row r="66" ht="15" hidden="0" customHeight="1"><x:c r="A66" s="16" t="str"><x:v>F-061</x:v></x:c><x:c r="B66" s="16" t="str"><x:v>S-01</x:v></x:c><x:c r="C66" s="16" t="str"><x:v>Contrato puente</x:v></x:c><x:c r="D66" s="16" t="str"><x:v>PLACSP</x:v></x:c><x:c r="E66" s="16" t="str"><x:v>Ciudad Real 2026_2</x:v></x:c><x:c r="F66" s="16" t="str"><x:v>Acredita una nueva ronda de contratación puente en 2026</x:v></x:c><x:c r="G66" s="16" t="str"><x:v>Primaria</x:v></x:c><x:c r="H66" s="17" t="n"><x:v>46246</x:v></x:c><x:c r="I66" s="21" t="str"><x:v>https://contrataciondelestado.es/wps/poc?uri=deeplink:detalle_licitacion&amp;idEvl=T4dZcAyiRSSGCFcHcNGIlQ%3D%3D</x:v></x:c><x:c r="J66" s="21" t="str"><x:v>Abrir fuente</x:v></x:c></x:row><x:row r="67" ht="15" hidden="0" customHeight="1"><x:c r="A67" s="16" t="str"><x:v>F-062</x:v></x:c><x:c r="B67" s="16" t="str"><x:v>S-03</x:v></x:c><x:c r="C67" s="16" t="str"><x:v>Selección</x:v></x:c><x:c r="D67" s="16" t="str"><x:v>Promotur Turismo Canarias</x:v></x:c><x:c r="E67" s="16" t="str"><x:v>Resolución definitiva julio 2024</x:v></x:c><x:c r="F67" s="16" t="str"><x:v>Ritmos del Mundo: 60 puntos y 98.800 euros</x:v></x:c><x:c r="G67" s="16" t="str"><x:v>Primaria</x:v></x:c><x:c r="H67" s="17" t="n"><x:v>46246</x:v></x:c><x:c r="I67" s="21" t="str"><x:v>https://turismodeislascanarias.com/sites/default/files/convocatoria/aj42_23cp-resolucion_seleccion_valoracion_definitiva_julio_2024.pdf</x:v></x:c><x:c r="J67" s="21" t="str"><x:v>Abrir fuente</x:v></x:c></x:row><x:row r="68" ht="15" hidden="0" customHeight="1"><x:c r="A68" s="16" t="str"><x:v>F-063</x:v></x:c><x:c r="B68" s="16" t="str"><x:v>S-03</x:v></x:c><x:c r="C68" s="16" t="str"><x:v>Selección</x:v></x:c><x:c r="D68" s="16" t="str"><x:v>Promotur Turismo Canarias</x:v></x:c><x:c r="E68" s="16" t="str"><x:v>Resolución definitiva junio 2024</x:v></x:c><x:c r="F68" s="16" t="str"><x:v>Grand Opening Sunparadise: 59 puntos; Tenerife Music Festival: 60,25</x:v></x:c><x:c r="G68" s="16" t="str"><x:v>Primaria</x:v></x:c><x:c r="H68" s="17" t="n"><x:v>46246</x:v></x:c><x:c r="I68" s="21" t="str"><x:v>https://turismodeislascanarias.com/sites/default/files/convocatoria/aj42_23cp-resolucion_seleccion_valoracion_adjudicacion_junio_2024.pdf</x:v></x:c><x:c r="J68" s="21" t="str"><x:v>Abrir fuente</x:v></x:c></x:row><x:row r="69" ht="15" hidden="0" customHeight="1"><x:c r="A69" s="16" t="str"><x:v>F-064</x:v></x:c><x:c r="B69" s="16" t="str"><x:v>S-03</x:v></x:c><x:c r="C69" s="16" t="str"><x:v>Selección</x:v></x:c><x:c r="D69" s="16" t="str"><x:v>Promotur Turismo Canarias</x:v></x:c><x:c r="E69" s="16" t="str"><x:v>Resolución definitiva agosto 2024</x:v></x:c><x:c r="F69" s="16" t="str"><x:v>Sunblast: 75,75 puntos y 150.000 euros</x:v></x:c><x:c r="G69" s="16" t="str"><x:v>Primaria</x:v></x:c><x:c r="H69" s="17" t="n"><x:v>46246</x:v></x:c><x:c r="I69" s="21" t="str"><x:v>https://turismodeislascanarias.com/sites/default/files/convocatoria/aj42_23cp_resolucion_definitiva_seleccion_mes_agosto_2024.pdf</x:v></x:c><x:c r="J69" s="21" t="str"><x:v>Abrir fuente</x:v></x:c></x:row><x:row r="70" ht="15" hidden="0" customHeight="1"><x:c r="A70" s="16" t="str"><x:v>F-065</x:v></x:c><x:c r="B70" s="16" t="str"><x:v>S-03</x:v></x:c><x:c r="C70" s="16" t="str"><x:v>Selección</x:v></x:c><x:c r="D70" s="16" t="str"><x:v>Promotur Turismo Canarias</x:v></x:c><x:c r="E70" s="16" t="str"><x:v>Resolución definitiva septiembre 2024</x:v></x:c><x:c r="F70" s="16" t="str"><x:v>Oasis Festival: 62,25 puntos y 62.100 euros</x:v></x:c><x:c r="G70" s="16" t="str"><x:v>Primaria</x:v></x:c><x:c r="H70" s="17" t="n"><x:v>46246</x:v></x:c><x:c r="I70" s="21" t="str"><x:v>https://turismodeislascanarias.com/sites/default/files/convocatoria/resolucion_de_seleccion_y_valoracion_definitiva_-_septiembre_2024.pdf</x:v></x:c><x:c r="J70" s="21" t="str"><x:v>Abrir fuente</x:v></x:c></x:row><x:row r="71" ht="15" hidden="0" customHeight="1"><x:c r="A71" s="16" t="str"><x:v>F-066</x:v></x:c><x:c r="B71" s="16" t="str"><x:v>S-03</x:v></x:c><x:c r="C71" s="16" t="str"><x:v>Selección</x:v></x:c><x:c r="D71" s="16" t="str"><x:v>Promotur Turismo Canarias</x:v></x:c><x:c r="E71" s="16" t="str"><x:v>Resolución definitiva mayo-junio 2025</x:v></x:c><x:c r="F71" s="16" t="str"><x:v>Acredita puntuaciones y selección de los cinco patrocinios de 2025 del clúster</x:v></x:c><x:c r="G71" s="16" t="str"><x:v>Primaria</x:v></x:c><x:c r="H71" s="17" t="n"><x:v>46246</x:v></x:c><x:c r="I71" s="21" t="str"><x:v>https://turismodeislascanarias.com/sites/default/files/convocatoria/aj33_24cp_res_definitiva_seleccion_valoracion_definitiva_mayo-junio_2025.pdf</x:v></x:c><x:c r="J71" s="21" t="str"><x:v>Abrir fuente</x:v></x:c></x:row><x:row r="72" ht="21.600000381469727" hidden="0" customHeight="1"><x:c r="A72" s="16" t="str"><x:v>F-067</x:v></x:c><x:c r="B72" s="16" t="str"><x:v>S-04</x:v></x:c><x:c r="C72" s="16" t="str"><x:v>Pliego</x:v></x:c><x:c r="D72" s="16" t="str"><x:v>PLACSP</x:v></x:c><x:c r="E72" s="16" t="str"><x:v>PCAP En La Línea Música</x:v></x:c><x:c r="F72" s="16" t="str"><x:v>Acredita exclusividad, negociación individual del precio e informe posterior de impacto</x:v></x:c><x:c r="G72" s="16" t="str"><x:v>Primaria</x:v></x:c><x:c r="H72" s="17" t="n"><x:v>46246</x:v></x:c><x:c r="I72" s="21" t="str"><x:v>https://contrataciondelestado.es/FileSystem/servlet/GetDocumentByIdServlet?DocumentIdParam=Y8nMT8cpufwNP5NE7uO4PvT5sXqarBQre8Dfcmtw9RC1ECeYME2KHXReEIO4vJl0XicDsYN9GfcdFxphJUZiNYag8ZSpNNo2dc%2BOeZjBBaLDdQD9RyhUmzT4jZ2In4zL&amp;cifrado=QUC1GjXXSiLkydRHJBmbpw%3D%3D</x:v></x:c><x:c r="J72" s="21" t="str"><x:v>Abrir fuente</x:v></x:c></x:row><x:row r="73" ht="15" hidden="0" customHeight="1"><x:c r="A73" s="16" t="str"><x:v>F-068</x:v></x:c><x:c r="B73" s="16" t="str"><x:v>S-04</x:v></x:c><x:c r="C73" s="16" t="str"><x:v>Pliego</x:v></x:c><x:c r="D73" s="16" t="str"><x:v>PLACSP</x:v></x:c><x:c r="E73" s="16" t="str"><x:v>PCAP Concert Music Festival</x:v></x:c><x:c r="F73" s="16" t="str"><x:v>Acredita exclusividad y obligación de negociar el precio</x:v></x:c><x:c r="G73" s="16" t="str"><x:v>Primaria</x:v></x:c><x:c r="H73" s="17" t="n"><x:v>46246</x:v></x:c><x:c r="I73" s="21" t="str"><x:v>https://contrataciondelestado.es/FileSystem/servlet/GetDocumentByIdServlet?DocumentIdParam=ISj5NEi14AtNKLgLIMcnvcEfZzVXGjwWylVOoKeIVxDrkfPBC02fLXS0HqNNTXITlaLi8rSlp16XoRiSOKztRcx8pimWj1BSq7jC/I91%2BANt/o8fNevwsujgRzaBbugn&amp;cifrado=QUC1GjXXSiLkydRHJBmbpw%3D%3D</x:v></x:c><x:c r="J73" s="21" t="str"><x:v>Abrir fuente</x:v></x:c></x:row><x:row r="74" ht="15" hidden="0" customHeight="1"><x:c r="A74" s="16" t="str"><x:v>F-069</x:v></x:c><x:c r="B74" s="16" t="str"><x:v>S-04</x:v></x:c><x:c r="C74" s="16" t="str"><x:v>Pliego</x:v></x:c><x:c r="D74" s="16" t="str"><x:v>PLACSP</x:v></x:c><x:c r="E74" s="16" t="str"><x:v>PCAP Cabaret Festival</x:v></x:c><x:c r="F74" s="16" t="str"><x:v>Acredita exclusividad, negociación e informe posterior de impacto</x:v></x:c><x:c r="G74" s="16" t="str"><x:v>Primaria</x:v></x:c><x:c r="H74" s="17" t="n"><x:v>46246</x:v></x:c><x:c r="I74" s="21" t="str"><x:v>https://contrataciondelestado.es/FileSystem/servlet/GetDocumentByIdServlet?DocumentIdParam=UHyUo4AexfFUVBR4AY5D%2BG4AolmweKwRkB1Ys7euQBl1t7tdddaENb%2Bglfq9xFAyJG/AFPZH74J7sU5G48bs64gcdKe2XPkCPUFIu1hE7lM//q7NB2iMZvNyf0xrJmjt&amp;cifrado=QUC1GjXXSiLkydRHJBmbpw%3D%3D</x:v></x:c><x:c r="J74" s="21" t="str"><x:v>Abrir fuente</x:v></x:c></x:row></x:sheetData><x:mergeCells><x:mergeCell ref="A1:J2" /><x:mergeCell ref="A3:J3" /></x:mergeCells><x:pageMargins left="0.7" right="0.7" top="0.75" bottom="0.75" header="0.3" footer="0.3" /><x:tableParts count="1"><x:tablePart r:id="R1df6e531149a40e5" xmlns:r="http://schemas.openxmlformats.org/officeDocument/2006/relationships" /></x:tableParts></x:worksheet><hyperlinks><hyperlink ref="J6" r:id="rId1"/><hyperlink ref="J7" r:id="rId2"/><hyperlink ref="J8" r:id="rId3"/><hyperlink ref="J9" r:id="rId4"/><hyperlink ref="J10" r:id="rId5"/><hyperlink ref="J11" r:id="rId6"/><hyperlink ref="J12" r:id="rId7"/><hyperlink ref="J13" r:id="rId8"/><hyperlink ref="J14" r:id="rId9"/><hyperlink ref="J15" r:id="rId10"/><hyperlink ref="J16" r:id="rId11"/><hyperlink ref="J17" r:id="rId12"/><hyperlink ref="J18" r:id="rId13"/><hyperlink ref="J19" r:id="rId14"/><hyperlink ref="J20" r:id="rId15"/><hyperlink ref="J21" r:id="rId16"/><hyperlink ref="J22" r:id="rId17"/><hyperlink ref="J23" r:id="rId18"/><hyperlink ref="J24" r:id="rId19"/><hyperlink ref="J25" r:id="rId20"/><hyperlink ref="J26" r:id="rId21"/><hyperlink ref="J27" r:id="rId22"/><hyperlink ref="J28" r:id="rId23"/><hyperlink ref="J29" r:id="rId24"/><hyperlink ref="J30" r:id="rId25"/><hyperlink ref="J31" r:id="rId26"/><hyperlink ref="J32" r:id="rId27"/><hyperlink ref="J33" r:id="rId28"/><hyperlink ref="J34" r:id="rId29"/><hyperlink ref="J35" r:id="rId30"/><hyperlink ref="J36" r:id="rId31"/><hyperlink ref="J37" r:id="rId32"/><hyperlink ref="J38" r:id="rId33"/><hyperlink ref="J39" r:id="rId34"/><hyperlink ref="J40" r:id="rId35"/><hyperlink ref="J41" r:id="rId36"/><hyperlink ref="J42" r:id="rId37"/><hyperlink ref="J43" r:id="rId38"/><hyperlink ref="J44" r:id="rId39"/><hyperlink ref="J45" r:id="rId40"/><hyperlink ref="J46" r:id="rId41"/><hyperlink ref="J47" r:id="rId42"/><hyperlink ref="J48" r:id="rId43"/><hyperlink ref="J49" r:id="rId44"/><hyperlink ref="J50" r:id="rId45"/><hyperlink ref="J51" r:id="rId46"/><hyperlink ref="J52" r:id="rId47"/><hyperlink ref="J53" r:id="rId48"/><hyperlink ref="J54" r:id="rId49"/><hyperlink ref="J55" r:id="rId50"/><hyperlink ref="J56" r:id="rId51"/><hyperlink ref="J57" r:id="rId52"/><hyperlink ref="J58" r:id="rId53"/><hyperlink ref="J59" r:id="rId54"/><hyperlink ref="J60" r:id="rId55"/><hyperlink ref="J61" r:id="rId56"/><hyperlink ref="J62" r:id="rId57"/><hyperlink ref="J63" r:id="rId58"/><hyperlink ref="J64" r:id="rId59"/><hyperlink ref="J65" r:id="rId60"/><hyperlink ref="J66" r:id="rId61"/><hyperlink ref="J67" r:id="rId62"/><hyperlink ref="J68" r:id="rId63"/><hyperlink ref="J69" r:id="rId64"/><hyperlink ref="J70" r:id="rId65"/><hyperlink ref="J71" r:id="rId66"/><hyperlink ref="J72" r:id="rId67"/><hyperlink ref="J73" r:id="rId68"/><hyperlink ref="J74" r:id="rId69"/></hyperlinks>
</file>

<file path=xl/worksheets/sheet6.xml><?xml version="1.0" encoding="utf-8"?><x:worksheet xmlns:x="http://schemas.openxmlformats.org/spreadsheetml/2006/main"><x:sheetViews><x:sheetView showGridLines="0" workbookViewId="0" /></x:sheetViews><x:sheetFormatPr defaultRowHeight="15" /><x:cols><x:col min="1" max="1" width="13" hidden="0" customWidth="1" /><x:col min="2" max="2" width="38" hidden="0" customWidth="1" /><x:col min="3" max="3" width="11" hidden="0" customWidth="1" /><x:col min="4" max="4" width="23" hidden="0" customWidth="1" /><x:col min="5" max="5" width="58" hidden="0" customWidth="1" /><x:col min="6" max="6" width="34" hidden="0" customWidth="1" /><x:col min="7" max="7" width="14" hidden="0" customWidth="1" /><x:col min="8" max="8" width="52" hidden="0" customWidth="1" /><x:col min="9" max="9" width="15" hidden="0" customWidth="1" /><x:col min="10" max="10" width="54" hidden="0" customWidth="1" /></x:cols><x:sheetData><x:row r="1" ht="24" customHeight="1"><x:c r="A1" s="4" t="str"><x:v>Diligencias realizadas y control de rendición de cuentas</x:v></x:c><x:c r="B1" s="4" /><x:c r="C1" s="4" /><x:c r="D1" s="4" /><x:c r="E1" s="4" /><x:c r="F1" s="4" /><x:c r="G1" s="4" /><x:c r="H1" s="4" /><x:c r="I1" s="4" /><x:c r="J1" s="4" /></x:row><x:row r="2" ht="24" customHeight="1"><x:c r="A2" s="4" /><x:c r="B2" s="4" /><x:c r="C2" s="4" /><x:c r="D2" s="4" /><x:c r="E2" s="4" /><x:c r="F2" s="4" /><x:c r="G2" s="4" /><x:c r="H2" s="4" /><x:c r="I2" s="4" /><x:c r="J2" s="4" /></x:row><x:row r="3" ht="30" hidden="0" customHeight="1"><x:c r="A3" s="8" t="str"><x:v>Las 25 comprobaciones fueron ejecutadas. “No publicado” y “no confirmable” son resultados de la revisión pública, no tareas abandonadas; la última columna identifica la solicitud formal necesaria.</x:v></x:c><x:c r="B3" s="8" /><x:c r="C3" s="8" /><x:c r="D3" s="8" /><x:c r="E3" s="8" /><x:c r="F3" s="8" /><x:c r="G3" s="8" /><x:c r="H3" s="8" /><x:c r="I3" s="8" /><x:c r="J3" s="8" /></x:row><x:row r="4" ht="15" hidden="0" customHeight="1"><x:c r="A4" s="93" /><x:c r="B4" s="93" /><x:c r="C4" s="93" /><x:c r="D4" s="93" /><x:c r="E4" s="93" /><x:c r="F4" s="93" /><x:c r="G4" s="93" /><x:c r="H4" s="93" /><x:c r="I4" s="93" /><x:c r="J4" s="93" /></x:row><x:row r="5" ht="15" hidden="0" customHeight="1"><x:c r="A5" s="13" t="str"><x:v>Caso/Clúster</x:v></x:c><x:c r="B5" s="13" t="str"><x:v>Diligencia realizada</x:v></x:c><x:c r="C5" s="13" t="str"><x:v>Prioridad</x:v></x:c><x:c r="D5" s="13" t="str"><x:v>Resultado</x:v></x:c><x:c r="E5" s="13" t="str"><x:v>Conclusión verificable</x:v></x:c><x:c r="F5" s="13" t="str"><x:v>Organismo o fuente</x:v></x:c><x:c r="G5" s="13" t="str"><x:v>Fecha de consulta</x:v></x:c><x:c r="H5" s="13" t="str"><x:v>URL pública</x:v></x:c><x:c r="I5" s="13" t="str"><x:v>Enlace</x:v></x:c><x:c r="J5" s="13" t="str"><x:v>Actuación formal si no está publicado</x:v></x:c></x:row><x:row r="6" ht="21.600000381469727" hidden="0" customHeight="1"><x:c r="A6" s="16" t="str"><x:v>C-01</x:v></x:c><x:c r="B6" s="16" t="str"><x:v>Expediente completo de arrendamiento</x:v></x:c><x:c r="C6" s="26" t="str"><x:v>Crítica</x:v></x:c><x:c r="D6" s="24" t="str"><x:v>No publicado</x:v></x:c><x:c r="E6" s="16" t="str"><x:v>Revisión concluida: PLACSP solo publica adjudicación y formalización. No constan inicio, pliego, informe jurídico ni expediente íntegro.</x:v></x:c><x:c r="F6" s="16" t="str"><x:v>Ayuntamiento de Cidones</x:v></x:c><x:c r="G6" s="17" t="n"><x:v>46246</x:v></x:c><x:c r="H6" s="21" t="str"><x:v>https://contrataciondelestado.es/wps/poc?uri=deeplink:detalle_licitacion&amp;idEvl=Bw%2BtY1gBGzXVGIpKDxgsAQ%3D%3D</x:v></x:c><x:c r="I6" s="21" t="str"><x:v>Abrir evidencia</x:v></x:c><x:c r="J6" s="16" t="str"><x:v>Solicitar copia íntegra del expediente 1/2025, índice y metadatos de firma.</x:v></x:c></x:row><x:row r="7" ht="21.600000381469727" hidden="0" customHeight="1"><x:c r="A7" s="16" t="str"><x:v>C-01</x:v></x:c><x:c r="B7" s="16" t="str"><x:v>Valoración técnica/económica del canon</x:v></x:c><x:c r="C7" s="26" t="str"><x:v>Crítica</x:v></x:c><x:c r="D7" s="24" t="str"><x:v>No publicado</x:v></x:c><x:c r="E7" s="16" t="str"><x:v>El anuncio fija como único criterio el precio más alto, pero no publica tasación, precio de mercado ni método para fijar 940 euros.</x:v></x:c><x:c r="F7" s="16" t="str"><x:v>Ayuntamiento de Cidones</x:v></x:c><x:c r="G7" s="17" t="n"><x:v>46246</x:v></x:c><x:c r="H7" s="21" t="str"><x:v>https://contrataciondelestado.es/FileSystem/servlet/GetDocumentByIdServlet?cifrado=QUC1GjXXSiLkydRHJBmbpw%3D%3D&amp;DocumentIdParam=EeamlVECv5qc1yJbBgdLuamDXRpFm9GxYhufDva3wSvpbrPUMkU/aiNDc1xoHTCm0bKf2WXUHd0TyEklzRSfi5wo%2BlOw7i0CrrzsBlooMjwC1/zDIE0Kw/PWNnLS0Z0z</x:v></x:c><x:c r="I7" s="21" t="str"><x:v>Abrir evidencia</x:v></x:c><x:c r="J7" s="16" t="str"><x:v>Solicitar valoración del aprovechamiento, comparables y acuerdo de fijación del canon.</x:v></x:c></x:row><x:row r="8" ht="21.600000381469727" hidden="0" customHeight="1"><x:c r="A8" s="16" t="str"><x:v>C-01</x:v></x:c><x:c r="B8" s="16" t="str"><x:v>Invitaciones y publicidad efectiva</x:v></x:c><x:c r="C8" s="26" t="str"><x:v>Crítica</x:v></x:c><x:c r="D8" s="34" t="str"><x:v>Acreditado parcialmente</x:v></x:c><x:c r="E8" s="16" t="str"><x:v>Consta una oferta. Adjudicación y formalización son de 28/12/2024; la publicación en PLACSP fue el 08/01/2025. No constan invitaciones o anuncio previo.</x:v></x:c><x:c r="F8" s="16" t="str"><x:v>PLACSP / Ayuntamiento de Cidones</x:v></x:c><x:c r="G8" s="17" t="n"><x:v>46246</x:v></x:c><x:c r="H8" s="21" t="str"><x:v>https://contrataciondelestado.es/FileSystem/servlet/GetDocumentByIdServlet?cifrado=QUC1GjXXSiLkydRHJBmbpw%3D%3D&amp;DocumentIdParam=EeamlVECv5qc1yJbBgdLuamDXRpFm9GxYhufDva3wSvpbrPUMkU/aiNDc1xoHTCm0bKf2WXUHd0TyEklzRSfi5wo%2BlOw7i0CrrzsBlooMjwC1/zDIE0Kw/PWNnLS0Z0z</x:v></x:c><x:c r="I8" s="21" t="str"><x:v>Abrir evidencia</x:v></x:c><x:c r="J8" s="16" t="str"><x:v>Solicitar relación de operadores invitados, comunicaciones y justificante de publicidad previa.</x:v></x:c></x:row><x:row r="9" ht="21.600000381469727" hidden="0" customHeight="1"><x:c r="A9" s="16" t="str"><x:v>C-01</x:v></x:c><x:c r="B9" s="16" t="str"><x:v>Resolución, firmante y abstención/recusación</x:v></x:c><x:c r="C9" s="26" t="str"><x:v>Crítica</x:v></x:c><x:c r="D9" s="34" t="str"><x:v>Acreditado parcialmente</x:v></x:c><x:c r="E9" s="16" t="str"><x:v>Constan fecha de adjudicación y formalización, pero no la resolución firmada, identidad del decisor ni documento de abstención del beneficiario-alcalde.</x:v></x:c><x:c r="F9" s="16" t="str"><x:v>Ayuntamiento de Cidones</x:v></x:c><x:c r="G9" s="17" t="n"><x:v>46246</x:v></x:c><x:c r="H9" s="21" t="str"><x:v>https://contrataciondelestado.es/FileSystem/servlet/GetDocumentByIdServlet?cifrado=QUC1GjXXSiLkydRHJBmbpw%3D%3D&amp;DocumentIdParam=CtmmTA%2BJf8wvXVWdivSQZOWxfXKNFKFBwGqwJENjkzu7jgrysIa6RcTQ6TMEDIQmJfIemQ1w%2BQtLkuBU7p/IxL7W6qVwvycxcoDDLwmRCSIZyAJWGsSt0OzTSTyw9JAs</x:v></x:c><x:c r="I9" s="21" t="str"><x:v>Abrir evidencia</x:v></x:c><x:c r="J9" s="16" t="str"><x:v>Solicitar resolución original firmada, expediente de delegación y declaración de abstención/recusación.</x:v></x:c></x:row><x:row r="10" ht="21.600000381469727" hidden="0" customHeight="1"><x:c r="A10" s="16" t="str"><x:v>C-01</x:v></x:c><x:c r="B10" s="16" t="str"><x:v>Declaración de intereses y pagos del canon</x:v></x:c><x:c r="C10" s="31" t="str"><x:v>Alta</x:v></x:c><x:c r="D10" s="24" t="str"><x:v>No publicado</x:v></x:c><x:c r="E10" s="16" t="str"><x:v>No se localizaron declaración de intereses relacionada, liquidaciones, recibos ni movimientos de cobro del canon.</x:v></x:c><x:c r="F10" s="16" t="str"><x:v>Ayuntamiento de Cidones</x:v></x:c><x:c r="G10" s="17" t="n"><x:v>46246</x:v></x:c><x:c r="H10" s="21" t="str"><x:v>https://www.cidones.es/corporacion</x:v></x:c><x:c r="I10" s="21" t="str"><x:v>Abrir evidencia</x:v></x:c><x:c r="J10" s="16" t="str"><x:v>Solicitar registro de intereses aplicable y mayor contable/carta de pago del expediente 1/2025.</x:v></x:c></x:row><x:row r="11" ht="21.600000381469727" hidden="0" customHeight="1"><x:c r="A11" s="16" t="str"><x:v>C-02</x:v></x:c><x:c r="B11" s="16" t="str"><x:v>Matriz completa de puntuación</x:v></x:c><x:c r="C11" s="26" t="str"><x:v>Crítica</x:v></x:c><x:c r="D11" s="42" t="str"><x:v>Acreditado</x:v></x:c><x:c r="E11" s="16" t="str"><x:v>El acta firmada publica la matriz: 56,38; 87,25 y 92,29 puntos. María Cristina Lao obtuvo la mayor puntuación total.</x:v></x:c><x:c r="F11" s="16" t="str"><x:v>Ayuntamiento de Íllar / PLACSP</x:v></x:c><x:c r="G11" s="17" t="n"><x:v>46246</x:v></x:c><x:c r="H11" s="21" t="str"><x:v>https://contrataciondelestado.es/wps/wcm/connect/PLACE_es/Site/area/docAccCmpnt?srv=cmpnt&amp;cmpntname=GetDocumentsById&amp;source=library&amp;DocumentIdParam=2025-29aaa8d7-4026-4df6-a5a4-2fcb8ed49dd2</x:v></x:c><x:c r="I11" s="21" t="str"><x:v>Abrir evidencia</x:v></x:c><x:c r="J11" s="16" t="str"><x:v>Sin actuación adicional sobre la matriz; conservar el acta como evidencia.</x:v></x:c></x:row><x:row r="12" ht="21.600000381469727" hidden="0" customHeight="1"><x:c r="A12" s="16" t="str"><x:v>C-02</x:v></x:c><x:c r="B12" s="16" t="str"><x:v>Informe técnico y evaluadores</x:v></x:c><x:c r="C12" s="26" t="str"><x:v>Crítica</x:v></x:c><x:c r="D12" s="42" t="str"><x:v>Acreditado</x:v></x:c><x:c r="E12" s="16" t="str"><x:v>La mesa efectuó la valoración en acta firmada. Se identifican Juan Francisco Duarte Sánchez, Olga María Guijarro Rodríguez, David Bretones Cordero y Juan Antonio Solvas Martínez.</x:v></x:c><x:c r="F12" s="16" t="str"><x:v>Ayuntamiento de Íllar / PLACSP</x:v></x:c><x:c r="G12" s="17" t="n"><x:v>46246</x:v></x:c><x:c r="H12" s="21" t="str"><x:v>https://contrataciondelestado.es/wps/wcm/connect/PLACE_es/Site/area/docAccCmpnt?srv=cmpnt&amp;cmpntname=GetDocumentsById&amp;source=library&amp;DocumentIdParam=2025-7f7c48ec-6d0f-43f4-a34b-2900103265aa</x:v></x:c><x:c r="I12" s="21" t="str"><x:v>Abrir evidencia</x:v></x:c><x:c r="J12" s="16" t="str"><x:v>Solicitar solo si existe un informe técnico separado no incorporado al acta.</x:v></x:c></x:row><x:row r="13" ht="21.600000381469727" hidden="0" customHeight="1"><x:c r="A13" s="16" t="str"><x:v>C-02</x:v></x:c><x:c r="B13" s="16" t="str"><x:v>Documento de abstención/recusación</x:v></x:c><x:c r="C13" s="26" t="str"><x:v>Crítica</x:v></x:c><x:c r="D13" s="24" t="str"><x:v>No publicado</x:v></x:c><x:c r="E13" s="16" t="str"><x:v>No consta declaración de abstención o recusación de la concejala adjudicataria ni análisis de conflicto en los documentos públicos revisados.</x:v></x:c><x:c r="F13" s="16" t="str"><x:v>Ayuntamiento de Íllar</x:v></x:c><x:c r="G13" s="17" t="n"><x:v>46246</x:v></x:c><x:c r="H13" s="21" t="str"><x:v>https://www.illar.es/Servicios/Tablon/anexos.nsf/B82EBCBBB1530428C1258C28004C2B4B/%24file/DOC_CAN_ADJ2025-000122856.pdf</x:v></x:c><x:c r="I13" s="21" t="str"><x:v>Abrir evidencia</x:v></x:c><x:c r="J13" s="16" t="str"><x:v>Solicitar documento de abstención/recusación y constancia de ausencia en deliberaciones.</x:v></x:c></x:row><x:row r="14" ht="21.600000381469727" hidden="0" customHeight="1"><x:c r="A14" s="16" t="str"><x:v>C-02</x:v></x:c><x:c r="B14" s="16" t="str"><x:v>Contrato concesional y pagos del canon</x:v></x:c><x:c r="C14" s="31" t="str"><x:v>Alta</x:v></x:c><x:c r="D14" s="24" t="str"><x:v>No publicado</x:v></x:c><x:c r="E14" s="16" t="str"><x:v>No se localizaron contrato firmado, liquidaciones ni pagos del canon en el tablón o PLACSP consultados.</x:v></x:c><x:c r="F14" s="16" t="str"><x:v>Ayuntamiento de Íllar</x:v></x:c><x:c r="G14" s="17" t="n"><x:v>46246</x:v></x:c><x:c r="H14" s="21" t="str"><x:v>https://www.illar.es/Servicios/Tablon/anexos.nsf/B82EBCBBB1530428C1258C28004C2B4B/%24file/DOC_CAN_ADJ2025-000122856.pdf</x:v></x:c><x:c r="I14" s="21" t="str"><x:v>Abrir evidencia</x:v></x:c><x:c r="J14" s="16" t="str"><x:v>Solicitar contrato, acta de inicio, liquidaciones y cartas de pago.</x:v></x:c></x:row><x:row r="15" ht="21.600000381469727" hidden="0" customHeight="1"><x:c r="A15" s="16" t="str"><x:v>C-03</x:v></x:c><x:c r="B15" s="16" t="str"><x:v>Declaración de actividades y compatibilidad</x:v></x:c><x:c r="C15" s="31" t="str"><x:v>Alta</x:v></x:c><x:c r="D15" s="24" t="str"><x:v>No publicado</x:v></x:c><x:c r="E15" s="16" t="str"><x:v>No consta en la sede municipal una declaración de actividad empresarial o resolución de compatibilidad vinculada a los contratos.</x:v></x:c><x:c r="F15" s="16" t="str"><x:v>Ayuntamiento de Cabra de Mora</x:v></x:c><x:c r="G15" s="17" t="n"><x:v>46246</x:v></x:c><x:c r="H15" s="21" t="str"><x:v>https://contrataciondelestado.es/wps/wcm/connect/PLACE_es/Site/area/docAccCmpnt?DocumentIdParam=884c51bb-42ed-4fbc-ba17-f15b1c8eca21&amp;cmpntname=GetDocumentsById&amp;source=library&amp;srv=cmpnt</x:v></x:c><x:c r="I15" s="21" t="str"><x:v>Abrir evidencia</x:v></x:c><x:c r="J15" s="16" t="str"><x:v>Solicitar declaración de actividades/intereses y, si procede, expediente de compatibilidad.</x:v></x:c></x:row><x:row r="16" ht="32.400001525878906" hidden="0" customHeight="1"><x:c r="A16" s="16" t="str"><x:v>C-03</x:v></x:c><x:c r="B16" s="16" t="str"><x:v>Cargos en comarca o entidades compartidas</x:v></x:c><x:c r="C16" s="31" t="str"><x:v>Alta</x:v></x:c><x:c r="D16" s="42" t="str"><x:v>Acreditado</x:v></x:c><x:c r="E16" s="16" t="str"><x:v>La comarca publica a Monleón como consejero del PAR, vicepresidente de Medio Ambiente y presidente de residuos, maquinaria, protección civil y bomberos. No se acredita intervención en las mesas municipales adjudicadoras.</x:v></x:c><x:c r="F16" s="16" t="str"><x:v>Comarca Gúdar-Javalambre</x:v></x:c><x:c r="G16" s="17" t="n"><x:v>46246</x:v></x:c><x:c r="H16" s="21" t="str"><x:v>https://gudarjavalambre.es/index.php?Itemid=30&amp;catid=9&amp;edit_base=true&amp;id=17%3Acomisiones-y-representantes&amp;option=com_content&amp;view=article</x:v></x:c><x:c r="I16" s="21" t="str"><x:v>Abrir evidencia</x:v></x:c><x:c r="J16" s="16" t="str"><x:v>Pedir a los ayuntamientos las actas de mesa para confirmar ausencia de intervención.</x:v></x:c></x:row><x:row r="17" ht="21.600000381469727" hidden="0" customHeight="1"><x:c r="A17" s="16" t="str"><x:v>C-03</x:v></x:c><x:c r="B17" s="16" t="str"><x:v>Difusión al mercado e invitaciones</x:v></x:c><x:c r="C17" s="31" t="str"><x:v>Alta</x:v></x:c><x:c r="D17" s="34" t="str"><x:v>Acreditado parcialmente</x:v></x:c><x:c r="E17" s="16" t="str"><x:v>Ambos expedientes fueron abiertos simplificados y publicados en PLACSP; no procedían invitaciones selectivas. Solo se presentó una oferta en cada adjudicación.</x:v></x:c><x:c r="F17" s="16" t="str"><x:v>PLACSP</x:v></x:c><x:c r="G17" s="17" t="n"><x:v>46246</x:v></x:c><x:c r="H17" s="21" t="str"><x:v>https://contrataciondelestado.es/wps/poc?uri=deeplink:detalle_licitacion&amp;idEvl=ltyldZlniPDmnwcj%2BxbdTg%3D%3D</x:v></x:c><x:c r="I17" s="21" t="str"><x:v>Abrir evidencia</x:v></x:c><x:c r="J17" s="16" t="str"><x:v>Solicitar estadísticas de acceso y comunicaciones de difusión si se quiere medir alcance efectivo.</x:v></x:c></x:row><x:row r="18" ht="21.600000381469727" hidden="0" customHeight="1"><x:c r="A18" s="16" t="str"><x:v>C-03</x:v></x:c><x:c r="B18" s="16" t="str"><x:v>Certificaciones de obra, facturas y pagos</x:v></x:c><x:c r="C18" s="49" t="str"><x:v>Media</x:v></x:c><x:c r="D18" s="24" t="str"><x:v>No publicado</x:v></x:c><x:c r="E18" s="16" t="str"><x:v>PLACSP acredita adjudicación, pero no publica certificaciones, facturas, pagos, modificaciones o liquidación final de los tres lotes.</x:v></x:c><x:c r="F18" s="16" t="str"><x:v>Ayuntamientos de Mora de Rubielos y Albentosa</x:v></x:c><x:c r="G18" s="17" t="n"><x:v>46246</x:v></x:c><x:c r="H18" s="21" t="str"><x:v>https://contrataciondelestado.es/wps/poc?uri=deeplink:detalle_licitacion&amp;idEvl=ltyldZlniPDmnwcj%2BxbdTg%3D%3D</x:v></x:c><x:c r="I18" s="21" t="str"><x:v>Abrir evidencia</x:v></x:c><x:c r="J18" s="16" t="str"><x:v>Solicitar certificaciones, facturas, mandamientos de pago, modificaciones y actas de recepción.</x:v></x:c></x:row><x:row r="19" ht="32.400001525878906" hidden="0" customHeight="1"><x:c r="A19" s="16" t="str"><x:v>C-04</x:v></x:c><x:c r="B19" s="16" t="str"><x:v>Composición comarcal a 7 de mayo de 2025</x:v></x:c><x:c r="C19" s="26" t="str"><x:v>Crítica</x:v></x:c><x:c r="D19" s="34" t="str"><x:v>Acreditado parcialmente</x:v></x:c><x:c r="E19" s="16" t="str"><x:v>El BOA de 2023 la proclama suplente y la composición oficial publicada no la incluye entre titulares. No se localizó acta nominal exacta del 07/05/2025 que descarte una sustitución puntual.</x:v></x:c><x:c r="F19" s="16" t="str"><x:v>Comarca del Matarraña-Matarranya / BOA</x:v></x:c><x:c r="G19" s="17" t="n"><x:v>46246</x:v></x:c><x:c r="H19" s="21" t="str"><x:v>https://www.comarcamatarranya.es/es/p/consejo-comarcal</x:v></x:c><x:c r="I19" s="21" t="str"><x:v>Abrir evidencia</x:v></x:c><x:c r="J19" s="16" t="str"><x:v>Solicitar certificación de miembros presentes y sustituciones en la fecha de adjudicación.</x:v></x:c></x:row><x:row r="20" ht="21.600000381469727" hidden="0" customHeight="1"><x:c r="A20" s="16" t="str"><x:v>C-04</x:v></x:c><x:c r="B20" s="16" t="str"><x:v>Tasación independiente y nota registral</x:v></x:c><x:c r="C20" s="31" t="str"><x:v>Alta</x:v></x:c><x:c r="D20" s="34" t="str"><x:v>Acreditado parcialmente</x:v></x:c><x:c r="E20" s="16" t="str"><x:v>La memoria identifica propiedad, registro, referencia catastral y valoración del arquitecto Emilio Dobato Liedana de 20/02/2025. No se publica el informe de tasación íntegro.</x:v></x:c><x:c r="F20" s="16" t="str"><x:v>Comarca del Matarraña-Matarranya / PLACSP</x:v></x:c><x:c r="G20" s="17" t="n"><x:v>46246</x:v></x:c><x:c r="H20" s="21" t="str"><x:v>https://contrataciondelestado.es/wps/wcm/connect/PLACE_es/Site/area/docAccCmpnt?srv=cmpnt&amp;cmpntname=GetDocumentsById&amp;source=library&amp;DocumentIdParam=2025-3cc5af66-84c9-4695-8114-22c266a43b9d</x:v></x:c><x:c r="I20" s="21" t="str"><x:v>Abrir evidencia</x:v></x:c><x:c r="J20" s="16" t="str"><x:v>Solicitar informe completo de valoración, nota registral incorporada y comparables.</x:v></x:c></x:row><x:row r="21" ht="32.400001525878906" hidden="0" customHeight="1"><x:c r="A21" s="16" t="str"><x:v>C-04</x:v></x:c><x:c r="B21" s="16" t="str"><x:v>Resolución, firmantes y abstención</x:v></x:c><x:c r="C21" s="31" t="str"><x:v>Alta</x:v></x:c><x:c r="D21" s="34" t="str"><x:v>Acreditado parcialmente</x:v></x:c><x:c r="E21" s="16" t="str"><x:v>Constan iniciación y aprobación por la presidencia y una comisión con Francisco Loscertales Martínez, Pilar Lorente Royo e Irene Colom Gil. No consta resolución final firmada ni recusaciones.</x:v></x:c><x:c r="F21" s="16" t="str"><x:v>Comarca del Matarraña-Matarranya / PLACSP</x:v></x:c><x:c r="G21" s="17" t="n"><x:v>46246</x:v></x:c><x:c r="H21" s="21" t="str"><x:v>https://contrataciondelestado.es/wps/poc?uri=deeplink:detalle_licitacion&amp;idEvl=U6PkcmCKl%2FokJPJS%2BPS9vg%3D%3D</x:v></x:c><x:c r="I21" s="21" t="str"><x:v>Abrir evidencia</x:v></x:c><x:c r="J21" s="16" t="str"><x:v>Solicitar resolución original, acta de negociación y declaraciones de abstención/recusación.</x:v></x:c></x:row><x:row r="22" ht="21.600000381469727" hidden="0" customHeight="1"><x:c r="A22" s="16" t="str"><x:v>C-04</x:v></x:c><x:c r="B22" s="16" t="str"><x:v>Justificante de pago</x:v></x:c><x:c r="C22" s="49" t="str"><x:v>Media</x:v></x:c><x:c r="D22" s="24" t="str"><x:v>No publicado</x:v></x:c><x:c r="E22" s="16" t="str"><x:v>La formalización mediante escritura pública está anunciada, pero no consta mandamiento, transferencia o asiento contable de pago.</x:v></x:c><x:c r="F22" s="16" t="str"><x:v>Comarca del Matarraña-Matarranya</x:v></x:c><x:c r="G22" s="17" t="n"><x:v>46246</x:v></x:c><x:c r="H22" s="21" t="str"><x:v>https://contrataciondelestado.es/wps/poc?uri=deeplink:detalle_licitacion&amp;idEvl=U6PkcmCKl%2FokJPJS%2BPS9vg%3D%3D</x:v></x:c><x:c r="I22" s="21" t="str"><x:v>Abrir evidencia</x:v></x:c><x:c r="J22" s="16" t="str"><x:v>Solicitar escritura, reconocimiento de obligación, mandamiento y justificante bancario.</x:v></x:c></x:row><x:row r="23" ht="21.600000381469727" hidden="0" customHeight="1"><x:c r="A23" s="16" t="str"><x:v>C-05</x:v></x:c><x:c r="B23" s="16" t="str"><x:v>Vinculación fiscal/profesional proveedor-concejal</x:v></x:c><x:c r="C23" s="26" t="str"><x:v>Crítica</x:v></x:c><x:c r="D23" s="29" t="str"><x:v>No confirmable con registros abiertos</x:v></x:c><x:c r="E23" s="16" t="str"><x:v>La coincidencia de nombre es exacta, pero no se localizó identificador fiscal, registro profesional o declaración oficial que una al proveedor con el concejal.</x:v></x:c><x:c r="F23" s="16" t="str"><x:v>Ayuntamiento de Viver / PLACSP</x:v></x:c><x:c r="G23" s="17" t="n"><x:v>46246</x:v></x:c><x:c r="H23" s="21" t="str"><x:v>https://contrataciondelestado.es/wps/poc?uri=deeplink:detalle_licitacion&amp;idEvl=jn9C4PfATATIGlsa0Wad%2Bw%3D%3D</x:v></x:c><x:c r="I23" s="21" t="str"><x:v>Abrir evidencia</x:v></x:c><x:c r="J23" s="16" t="str"><x:v>Solicitar declaración de actividades del concejal y CIF/NIF completo del adjudicatario bajo las cautelas legales.</x:v></x:c></x:row><x:row r="24" ht="21.600000381469727" hidden="0" customHeight="1"><x:c r="A24" s="16" t="str"><x:v>C-05</x:v></x:c><x:c r="B24" s="16" t="str"><x:v>Justificación del negociado sin publicidad</x:v></x:c><x:c r="C24" s="31" t="str"><x:v>Alta</x:v></x:c><x:c r="D24" s="42" t="str"><x:v>Acreditado</x:v></x:c><x:c r="E24" s="16" t="str"><x:v>El anuncio oficial invoca una incidencia de PLACSP y señala que se preveía invitar a tres operadores. La motivación existe, aunque no explica por qué solo llegó una oferta.</x:v></x:c><x:c r="F24" s="16" t="str"><x:v>Ayuntamiento de Puebla de Arenoso / PLACSP</x:v></x:c><x:c r="G24" s="17" t="n"><x:v>46246</x:v></x:c><x:c r="H24" s="21" t="str"><x:v>https://contrataciondelestado.es/FileSystem/servlet/GetDocumentByIdServlet?cifrado=QUC1GjXXSiLkydRHJBmbpw%3D%3D&amp;DocumentIdParam=J33M70ZEhmguFUNI/XRGNyYHljnv7mv4nKNhbogDsNZY2OUIiDUOIbPaYL3dKFnkrEGSFJ1YEo24lijtsRbgwOTGY5VKQLrSHosN0fkMjX17QB3HKyQaFUExmUVQCerk</x:v></x:c><x:c r="I24" s="21" t="str"><x:v>Abrir evidencia</x:v></x:c><x:c r="J24" s="16" t="str"><x:v>Solicitar informe técnico de la incidencia y acuerdo que autorizó el procedimiento excepcional.</x:v></x:c></x:row><x:row r="25" ht="21.600000381469727" hidden="0" customHeight="1"><x:c r="A25" s="16" t="str"><x:v>C-05</x:v></x:c><x:c r="B25" s="16" t="str"><x:v>Invitaciones, oferta e informe de adjudicación</x:v></x:c><x:c r="C25" s="31" t="str"><x:v>Alta</x:v></x:c><x:c r="D25" s="34" t="str"><x:v>Acreditado parcialmente</x:v></x:c><x:c r="E25" s="16" t="str"><x:v>Constan una oferta y tres operadores previstos. No se publican las tres invitaciones, identidad de los otros dos operadores, ofertas fallidas ni acta de negociación.</x:v></x:c><x:c r="F25" s="16" t="str"><x:v>Ayuntamiento de Puebla de Arenoso / PLACSP</x:v></x:c><x:c r="G25" s="17" t="n"><x:v>46246</x:v></x:c><x:c r="H25" s="21" t="str"><x:v>https://contrataciondelestado.es/FileSystem/servlet/GetDocumentByIdServlet?cifrado=QUC1GjXXSiLkydRHJBmbpw%3D%3D&amp;DocumentIdParam=sM3Lwe4JtdV6pQzf7QAsikgqi5htj8EfSLDx9UK5Lq8aQYK01SrelACUrgRZ7vlF7QiK8VHksmpmu7mefhJFM98c%2BvhC5uEjUD0BJjRVLhtt/o8fNevwsujgRzaBbugn</x:v></x:c><x:c r="I25" s="21" t="str"><x:v>Abrir evidencia</x:v></x:c><x:c r="J25" s="16" t="str"><x:v>Solicitar invitaciones, acuses, ofertas, acta de negociación e informe de adjudicación.</x:v></x:c></x:row><x:row r="26" ht="21.600000381469727" hidden="0" customHeight="1"><x:c r="A26" s="16" t="str"><x:v>C-07</x:v></x:c><x:c r="B26" s="16" t="str"><x:v>Autorización de compatibilidad laboral</x:v></x:c><x:c r="C26" s="49" t="str"><x:v>Media</x:v></x:c><x:c r="D26" s="24" t="str"><x:v>No publicado</x:v></x:c><x:c r="E26" s="16" t="str"><x:v>Fuentes oficiales confirman cargo político y actividad deportiva, pero no la relación laboral municipal exacta ni una autorización de compatibilidad vigente el 18/06/2025.</x:v></x:c><x:c r="F26" s="16" t="str"><x:v>Ayuntamiento de Abegondo</x:v></x:c><x:c r="G26" s="17" t="n"><x:v>46246</x:v></x:c><x:c r="H26" s="21" t="str"><x:v>https://abegondo.gal/nformacion-institucional-organizativa-e-de-planificacion/</x:v></x:c><x:c r="I26" s="21" t="str"><x:v>Abrir evidencia</x:v></x:c><x:c r="J26" s="16" t="str"><x:v>Solicitar certificado de situación laboral y resolución de compatibilidad aplicable en esa fecha.</x:v></x:c></x:row><x:row r="27" ht="32.400001525878906" hidden="0" customHeight="1"><x:c r="A27" s="16" t="str"><x:v>S-01</x:v></x:c><x:c r="B27" s="16" t="str"><x:v>Cronología firmada de contratos puente</x:v></x:c><x:c r="C27" s="31" t="str"><x:v>Alta</x:v></x:c><x:c r="D27" s="34" t="str"><x:v>Acreditado parcialmente</x:v></x:c><x:c r="E27" s="16" t="str"><x:v>PLACSP permite reconstruir 22 expedientes por 81.662.358,10 euros: dos rondas en cinco provincias y tres rondas adicionales en cuatro provincias, con contratos de dos meses y una oferta. No se publican todas las decisiones internas firmadas que justifican cada continuidad.</x:v></x:c><x:c r="F27" s="16" t="str"><x:v>SESCAM / PLACSP</x:v></x:c><x:c r="G27" s="17" t="n"><x:v>46246</x:v></x:c><x:c r="H27" s="21" t="str"><x:v>https://contrataciondelestado.es/wps/poc?uri=deeplink:detalle_licitacion&amp;idEvl=%2Bj7vWwdYL9CFQ%2FlhRK79lA%3D%3D</x:v></x:c><x:c r="I27" s="21" t="str"><x:v>Abrir evidencia</x:v></x:c><x:c r="J27" s="16" t="str"><x:v>Solicitar informes de necesidad, resoluciones, invitaciones, actas y responsables de los 22 expedientes.</x:v></x:c></x:row><x:row r="28" ht="32.400001525878906" hidden="0" customHeight="1"><x:c r="A28" s="16" t="str"><x:v>S-01</x:v></x:c><x:c r="B28" s="16" t="str"><x:v>Comparativa de precios puente/contrato ordinario</x:v></x:c><x:c r="C28" s="31" t="str"><x:v>Alta</x:v></x:c><x:c r="D28" s="34" t="str"><x:v>Acreditado parcialmente</x:v></x:c><x:c r="E28" s="16" t="str"><x:v>Los puentes repiten exactamente los importes provinciales y se adjudican sin baja visible. El contrato ordinario es abierto, de cinco años y con alcance renovado; el agregado público no permite comparación homogénea por unidad de servicio.</x:v></x:c><x:c r="F28" s="16" t="str"><x:v>SESCAM / PLACSP</x:v></x:c><x:c r="G28" s="17" t="n"><x:v>46246</x:v></x:c><x:c r="H28" s="21" t="str"><x:v>https://contrataciondelestado.es/FileSystem/servlet/GetDocumentByIdServlet?DocumentIdParam=A1DGXSDSlxreqoUsgmLhTnAuo1YLvWRMkpj8592hUjZYrKKGwJ3LMuHK8dhtVnd0LyoCDTwuYfyuG8UffTbn70sp8lFmdsOOs%2F7HEw07%2BSV7QB3HKyQaFUExmUVQCerk&amp;cifrado=QUC1GjXXSiLkydRHJBmbpw%3D%3D</x:v></x:c><x:c r="I28" s="21" t="str"><x:v>Abrir evidencia</x:v></x:c><x:c r="J28" s="16" t="str"><x:v>Solicitar estudio de costes y matriz comparable por vehículo, guardia, kilómetro, personal y mes.</x:v></x:c></x:row><x:row r="29" ht="21.600000381469727" hidden="0" customHeight="1"><x:c r="A29" s="16" t="str"><x:v>S-03</x:v></x:c><x:c r="B29" s="16" t="str"><x:v>Resoluciones y puntuaciones de cada patrocinio</x:v></x:c><x:c r="C29" s="49" t="str"><x:v>Media</x:v></x:c><x:c r="D29" s="42" t="str"><x:v>Acreditado</x:v></x:c><x:c r="E29" s="16" t="str"><x:v>Se localizaron las resoluciones de los diez proyectos: cinco de 2024 y cinco de 2025. Todos superaron convocatoria competitiva antes de formalizarse por exclusividad.</x:v></x:c><x:c r="F29" s="16" t="str"><x:v>Promotur Turismo Canarias</x:v></x:c><x:c r="G29" s="17" t="n"><x:v>46246</x:v></x:c><x:c r="H29" s="21" t="str"><x:v>https://turismodeislascanarias.com/sites/default/files/convocatoria/aj33_24cp_res_definitiva_seleccion_valoracion_definitiva_mayo-junio_2025.pdf</x:v></x:c><x:c r="I29" s="21" t="str"><x:v>Abrir evidencia</x:v></x:c><x:c r="J29" s="16" t="str"><x:v>Conservar resoluciones y controlar ejecución; no queda diligencia de selección abierta.</x:v></x:c></x:row><x:row r="30" ht="32.400001525878906" hidden="0" customHeight="1"><x:c r="A30" s="16" t="str"><x:v>S-04</x:v></x:c><x:c r="B30" s="16" t="str"><x:v>Exclusividad, negociación e informes de impacto</x:v></x:c><x:c r="C30" s="31" t="str"><x:v>Alta</x:v></x:c><x:c r="D30" s="34" t="str"><x:v>Acreditado parcialmente</x:v></x:c><x:c r="E30" s="16" t="str"><x:v>Los tres pliegos acreditan exclusividad y obligan a negociación individual e informe de impacto. Los importes se adjudicaron por el presupuesto íntegro; no constan publicadas actas de negociación ni memorias de impacto.</x:v></x:c><x:c r="F30" s="16" t="str"><x:v>Diputación Provincial de Cádiz / PLACSP</x:v></x:c><x:c r="G30" s="17" t="n"><x:v>46246</x:v></x:c><x:c r="H30" s="21" t="str"><x:v>https://contrataciondelestado.es/FileSystem/servlet/GetDocumentByIdServlet?DocumentIdParam=Y8nMT8cpufwNP5NE7uO4PvT5sXqarBQre8Dfcmtw9RC1ECeYME2KHXReEIO4vJl0XicDsYN9GfcdFxphJUZiNYag8ZSpNNo2dc%2BOeZjBBaLDdQD9RyhUmzT4jZ2In4zL&amp;cifrado=QUC1GjXXSiLkydRHJBmbpw%3D%3D</x:v></x:c><x:c r="I30" s="21" t="str"><x:v>Abrir evidencia</x:v></x:c><x:c r="J30" s="16" t="str"><x:v>Solicitar certificados, actas de negociación, facturas, pagos y memorias de impacto de los tres expedientes.</x:v></x:c></x:row></x:sheetData><x:mergeCells><x:mergeCell ref="A1:J2" /><x:mergeCell ref="A3:J3" /></x:mergeCells><x:pageMargins left="0.7" right="0.7" top="0.75" bottom="0.75" header="0.3" footer="0.3" /><x:tableParts count="1"><x:tablePart r:id="R4b3f5a85b02c4355" xmlns:r="http://schemas.openxmlformats.org/officeDocument/2006/relationships" /></x:tableParts></x:worksheet><hyperlinks><hyperlink ref="I6" r:id="rId1"/><hyperlink ref="I7" r:id="rId2"/><hyperlink ref="I8" r:id="rId3"/><hyperlink ref="I9" r:id="rId4"/><hyperlink ref="I10" r:id="rId5"/><hyperlink ref="I11" r:id="rId6"/><hyperlink ref="I12" r:id="rId7"/><hyperlink ref="I13" r:id="rId8"/><hyperlink ref="I14" r:id="rId9"/><hyperlink ref="I15" r:id="rId10"/><hyperlink ref="I16" r:id="rId11"/><hyperlink ref="I17" r:id="rId12"/><hyperlink ref="I18" r:id="rId13"/><hyperlink ref="I19" r:id="rId14"/><hyperlink ref="I20" r:id="rId15"/><hyperlink ref="I21" r:id="rId16"/><hyperlink ref="I22" r:id="rId17"/><hyperlink ref="I23" r:id="rId18"/><hyperlink ref="I24" r:id="rId19"/><hyperlink ref="I25" r:id="rId20"/><hyperlink ref="I26" r:id="rId21"/><hyperlink ref="I27" r:id="rId22"/><hyperlink ref="I28" r:id="rId23"/><hyperlink ref="I29" r:id="rId24"/><hyperlink ref="I30" r:id="rId25"/></hyperlinks>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00" hidden="0" customWidth="1"/>
    <x:col min="3" max="3" width="3" hidden="0" customWidth="1"/>
    <x:col min="4" max="4" width="3" hidden="0" customWidth="1"/>
    <x:col min="5" max="5" width="3" hidden="0" customWidth="1"/>
    <x:col min="6" max="6" width="3" hidden="0" customWidth="1"/>
  </x:cols>
  <x:sheetData>
    <x:row r="1" ht="24" customHeight="1">
      <x:c r="A1" s="4" t="str">
        <x:v>Metodología, criterios y límites</x:v>
      </x:c>
      <x:c r="B1" s="4"/>
      <x:c r="C1" s="4"/>
      <x:c r="D1" s="4"/>
      <x:c r="E1" s="4"/>
      <x:c r="F1" s="4"/>
    </x:row>
    <x:row r="2" ht="24" customHeight="1">
      <x:c r="A2" s="4"/>
      <x:c r="B2" s="4"/>
      <x:c r="C2" s="4"/>
      <x:c r="D2" s="4"/>
      <x:c r="E2" s="4"/>
      <x:c r="F2" s="4"/>
    </x:row>
    <x:row r="3" ht="30" hidden="0" customHeight="1">
      <x:c r="A3" s="8" t="str">
        <x:v>Marco reproducible de cribado de integridad. No sustituye investigación administrativa, fiscal, policial o judicial.</x:v>
      </x:c>
      <x:c r="B3" s="8"/>
      <x:c r="C3" s="8"/>
      <x:c r="D3" s="8"/>
      <x:c r="E3" s="8"/>
      <x:c r="F3" s="8"/>
    </x:row>
    <x:row r="4" ht="15" hidden="0" customHeight="1">
      <x:c r="A4" s="93"/>
      <x:c r="B4" s="93"/>
      <x:c r="C4" s="93"/>
      <x:c r="D4" s="93"/>
      <x:c r="E4" s="93"/>
      <x:c r="F4" s="93"/>
    </x:row>
    <x:row r="5" ht="15" hidden="0" customHeight="1">
      <x:c r="A5" s="13" t="str">
        <x:v>Criterio</x:v>
      </x:c>
      <x:c r="B5" s="13" t="str">
        <x:v>Aplicación</x:v>
      </x:c>
      <x:c r="C5" s="93"/>
      <x:c r="D5" s="93"/>
      <x:c r="E5" s="93"/>
      <x:c r="F5" s="93"/>
    </x:row>
    <x:row r="6" ht="21.600000381469727" hidden="0" customHeight="1">
      <x:c r="A6" s="50" t="str">
        <x:v>1. Objetivo</x:v>
      </x:c>
      <x:c r="B6" s="16" t="str">
        <x:v>Detectar señales que justifican rendición de cuentas: interés personal, contratación con cargo público, competencia débil, exclusividad, temporalidad y participación posible en el órgano decisor.</x:v>
      </x:c>
      <x:c r="C6" s="93"/>
      <x:c r="D6" s="93"/>
      <x:c r="E6" s="93"/>
      <x:c r="F6" s="93"/>
    </x:row>
    <x:row r="7" ht="21.600000381469727" hidden="0" customHeight="1">
      <x:c r="A7" s="50" t="str">
        <x:v>2. Registros públicos</x:v>
      </x:c>
      <x:c r="B7" s="16" t="str">
        <x:v>Contratos, cargos y cronologías se contrastan exclusivamente con PLACSP, boletines oficiales, sedes municipales, asambleas y resoluciones públicas. Cada evidencia conserva su URL en la hoja Fuentes.</x:v>
      </x:c>
      <x:c r="C7" s="93"/>
      <x:c r="D7" s="93"/>
      <x:c r="E7" s="93"/>
      <x:c r="F7" s="93"/>
    </x:row>
    <x:row r="8" ht="15" hidden="0" customHeight="1">
      <x:c r="A8" s="50" t="str">
        <x:v>3. Cruce temporal obligatorio</x:v>
      </x:c>
      <x:c r="B8" s="16" t="str">
        <x:v>Un cargo solo cuenta como activo si inicio_cargo &lt;= fecha_adjudicación y, cuando existe, fecha_adjudicación &lt;= fin_cargo. Este control descartó C-10 y C-11.</x:v>
      </x:c>
      <x:c r="C8" s="93"/>
      <x:c r="D8" s="93"/>
      <x:c r="E8" s="93"/>
      <x:c r="F8" s="93"/>
    </x:row>
    <x:row r="9" ht="21.600000381469727" hidden="0" customHeight="1">
      <x:c r="A9" s="50" t="str">
        <x:v>4. Confirmación de identidad</x:v>
      </x:c>
      <x:c r="B9" s="16" t="str">
        <x:v>Escala usada: confirmada por identificador fiscal/documento oficial; alta por nombre + localidad + profesión; muy alta sin cruce fiscal; no confirmable cuando el nombre no basta.</x:v>
      </x:c>
      <x:c r="C9" s="93"/>
      <x:c r="D9" s="93"/>
      <x:c r="E9" s="93"/>
      <x:c r="F9" s="93"/>
    </x:row>
    <x:row r="10" ht="15" hidden="0" customHeight="1">
      <x:c r="A10" s="50" t="str">
        <x:v>5. Solapamiento institucional</x:v>
      </x:c>
      <x:c r="B10" s="16" t="str">
        <x:v>Directo: mismo órgano o ayuntamiento. Indirecto: comarca, mancomunidad o municipio vecino. Ninguno: autoridad distinta sin vínculo de gobierno encontrado.</x:v>
      </x:c>
      <x:c r="C10" s="93"/>
      <x:c r="D10" s="93"/>
      <x:c r="E10" s="93"/>
      <x:c r="F10" s="93"/>
    </x:row>
    <x:row r="11" ht="15" hidden="0" customHeight="1">
      <x:c r="A11" s="50" t="str">
        <x:v>6. Competencia</x:v>
      </x:c>
      <x:c r="B11" s="16" t="str">
        <x:v>Una oferta es señal, no prueba. Se comprueba procedimiento, acuerdo marco, convocatoria previa, exclusividad y número real de competidores.</x:v>
      </x:c>
      <x:c r="C11" s="93"/>
      <x:c r="D11" s="93"/>
      <x:c r="E11" s="93"/>
      <x:c r="F11" s="93"/>
    </x:row>
    <x:row r="12" ht="21.600000381469727" hidden="0" customHeight="1">
      <x:c r="A12" s="50" t="str">
        <x:v>7. Conflicto directo</x:v>
      </x:c>
      <x:c r="B12" s="16" t="str">
        <x:v>Beneficio o derecho privado concedido por la entidad donde la persona ejerce cargo. La ausencia de recusación publicada mantiene el caso abierto; no demuestra por sí sola que no existiera.</x:v>
      </x:c>
      <x:c r="C12" s="93"/>
      <x:c r="D12" s="93"/>
      <x:c r="E12" s="93"/>
      <x:c r="F12" s="93"/>
    </x:row>
    <x:row r="13" ht="21.600000381469727" hidden="0" customHeight="1">
      <x:c r="A13" s="50" t="str">
        <x:v>8. Importes</x:v>
      </x:c>
      <x:c r="B13" s="16" t="str">
        <x:v>Importe neto y pagadero proceden de anuncios y documentos públicos enlazados. Canon, arrendamiento, concesión, compra, obra, servicio y patrocinio tienen naturalezas distintas y no deben agregarse como gasto homogéneo.</x:v>
      </x:c>
      <x:c r="C13" s="93"/>
      <x:c r="D13" s="93"/>
      <x:c r="E13" s="93"/>
      <x:c r="F13" s="93"/>
    </x:row>
    <x:row r="14" ht="15" hidden="0" customHeight="1">
      <x:c r="A14" s="50" t="str">
        <x:v>9. Fuentes</x:v>
      </x:c>
      <x:c r="B14" s="16" t="str">
        <x:v>Prioridad a boletines, sedes municipales, PLACSP y documentos firmados. Prensa solo se usa como pista o contexto y queda etiquetada como secundaria.</x:v>
      </x:c>
      <x:c r="C14" s="93"/>
      <x:c r="D14" s="93"/>
      <x:c r="E14" s="93"/>
      <x:c r="F14" s="93"/>
    </x:row>
    <x:row r="15" ht="21.600000381469727" hidden="0" customHeight="1">
      <x:c r="A15" s="50" t="str">
        <x:v>10. Limitaciones</x:v>
      </x:c>
      <x:c r="B15" s="16" t="str">
        <x:v>“No publicado” significa que la revisión de los portales públicos enlazados terminó sin localizar el documento. No demuestra que el documento no exista; por eso se identifica el organismo y la solicitud formal exacta.</x:v>
      </x:c>
      <x:c r="C15" s="93"/>
      <x:c r="D15" s="93"/>
      <x:c r="E15" s="93"/>
      <x:c r="F15" s="93"/>
    </x:row>
    <x:row r="16" ht="21.600000381469727" hidden="0" customHeight="1">
      <x:c r="A16" s="50" t="str">
        <x:v>11. Lenguaje</x:v>
      </x:c>
      <x:c r="B16" s="16" t="str">
        <x:v>El libro usa indicio, alerta, conflicto, no publicado, no confirmable y descartado. No afirma delito, corrupción penal, cohecho, prevaricación o amaño sin prueba específica.</x:v>
      </x:c>
      <x:c r="C16" s="93"/>
      <x:c r="D16" s="93"/>
      <x:c r="E16" s="93"/>
      <x:c r="F16" s="93"/>
    </x:row>
    <x:row r="17" ht="21.600000381469727" hidden="0" customHeight="1">
      <x:c r="A17" s="50" t="str">
        <x:v>12. Regla de cierre</x:v>
      </x:c>
      <x:c r="B17" s="16" t="str">
        <x:v>Un caso se cierra cuando identidad, temporalidad, órgano, procedimiento y documentación de conflicto quedan resueltos. La mera ausencia de condena no cierra una alerta administrativa.</x:v>
      </x:c>
      <x:c r="C17" s="93"/>
      <x:c r="D17" s="93"/>
      <x:c r="E17" s="93"/>
      <x:c r="F17" s="93"/>
    </x:row>
  </x:sheetData>
  <x:mergeCells>
    <x:mergeCell ref="A1:F2"/>
    <x:mergeCell ref="A3:F3"/>
  </x:mergeCells>
  <x:pageMargins left="0.7" right="0.7" top="0.75" bottom="0.75" header="0.3" footer="0.3"/>
</x:worksheet>
</file>